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tabRatio="500"/>
  </bookViews>
  <sheets>
    <sheet name="Dashboard" sheetId="1" r:id="rId1"/>
    <sheet name="Pivot_Analysis" sheetId="2" r:id="rId2"/>
    <sheet name="Summary" sheetId="3" r:id="rId3"/>
    <sheet name="KPI_Data" sheetId="4" r:id="rId4"/>
    <sheet name="Raw_Data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<sst xmlns="http://schemas.openxmlformats.org/spreadsheetml/2006/main" count="1621" uniqueCount="561">
  <si>
    <t>Marketing Campaign Performance Dashboard</t>
  </si>
  <si>
    <t>Channel:</t>
  </si>
  <si>
    <t>All</t>
  </si>
  <si>
    <t>Region:</t>
  </si>
  <si>
    <t>Date From:</t>
  </si>
  <si>
    <t>Date To:</t>
  </si>
  <si>
    <t>TOTAL_SPEND</t>
  </si>
  <si>
    <t>TOTAL_REVENUE</t>
  </si>
  <si>
    <t>TOTAL_CONVERSIONS</t>
  </si>
  <si>
    <t>OVERALL_ROAS</t>
  </si>
  <si>
    <t>AVG_CTR</t>
  </si>
  <si>
    <t>TOTAL_PROFIT</t>
  </si>
  <si>
    <t>Region</t>
  </si>
  <si>
    <t>Channel</t>
  </si>
  <si>
    <t>Data</t>
  </si>
  <si>
    <t>East</t>
  </si>
  <si>
    <t>North</t>
  </si>
  <si>
    <t>South</t>
  </si>
  <si>
    <t>West</t>
  </si>
  <si>
    <t>Total Result</t>
  </si>
  <si>
    <t>Facebook</t>
  </si>
  <si>
    <t>Sum - Spend ($)</t>
  </si>
  <si>
    <t>Sum - Revenue ($)</t>
  </si>
  <si>
    <t>Sum - Conversions</t>
  </si>
  <si>
    <t>Google Ads</t>
  </si>
  <si>
    <t>Instagram</t>
  </si>
  <si>
    <t>LinkedIn</t>
  </si>
  <si>
    <t>Twitter</t>
  </si>
  <si>
    <t>Total Sum - Spend ($)</t>
  </si>
  <si>
    <t>Total Sum - Revenue ($)</t>
  </si>
  <si>
    <t>Total Sum - Conversions</t>
  </si>
  <si>
    <t xml:space="preserve">Marketing Campaign Performance </t>
  </si>
  <si>
    <t>Channel-wise Performance</t>
  </si>
  <si>
    <t>Spend ($)</t>
  </si>
  <si>
    <t>Revenue ($)</t>
  </si>
  <si>
    <t>Conversions</t>
  </si>
  <si>
    <t>ROAS</t>
  </si>
  <si>
    <t>Profit ($)</t>
  </si>
  <si>
    <t>Region-wise Performance</t>
  </si>
  <si>
    <t>Monthly Trend</t>
  </si>
  <si>
    <t>Year-Month</t>
  </si>
  <si>
    <t>2024-12</t>
  </si>
  <si>
    <t>2025-01</t>
  </si>
  <si>
    <t>2025-02</t>
  </si>
  <si>
    <t>2025-03</t>
  </si>
  <si>
    <t>2025-04</t>
  </si>
  <si>
    <t>2025-05</t>
  </si>
  <si>
    <t>2025-06</t>
  </si>
  <si>
    <t>Overall Funnel</t>
  </si>
  <si>
    <t>Stage</t>
  </si>
  <si>
    <t>Count</t>
  </si>
  <si>
    <t>Impressions</t>
  </si>
  <si>
    <t>Clicks</t>
  </si>
  <si>
    <t>Budget Allocation by Channel</t>
  </si>
  <si>
    <t>Budget ($)</t>
  </si>
  <si>
    <t>Campaign_ID</t>
  </si>
  <si>
    <t>Date</t>
  </si>
  <si>
    <t>CTR</t>
  </si>
  <si>
    <t>CPC</t>
  </si>
  <si>
    <t>CPA</t>
  </si>
  <si>
    <t>Profit Margin %</t>
  </si>
  <si>
    <t>C0498</t>
  </si>
  <si>
    <t>C0170</t>
  </si>
  <si>
    <t>C0215</t>
  </si>
  <si>
    <t>C0077</t>
  </si>
  <si>
    <t>C0175</t>
  </si>
  <si>
    <t>C0210</t>
  </si>
  <si>
    <t>C0256</t>
  </si>
  <si>
    <t>C0338</t>
  </si>
  <si>
    <t>C0198</t>
  </si>
  <si>
    <t>C0087</t>
  </si>
  <si>
    <t>C0460</t>
  </si>
  <si>
    <t>C0114</t>
  </si>
  <si>
    <t>C0113</t>
  </si>
  <si>
    <t>C0133</t>
  </si>
  <si>
    <t>C0111</t>
  </si>
  <si>
    <t>C0250</t>
  </si>
  <si>
    <t>C0328</t>
  </si>
  <si>
    <t>C0275</t>
  </si>
  <si>
    <t>C0194</t>
  </si>
  <si>
    <t>C0043</t>
  </si>
  <si>
    <t>C0289</t>
  </si>
  <si>
    <t>C0092</t>
  </si>
  <si>
    <t>C0354</t>
  </si>
  <si>
    <t>C0085</t>
  </si>
  <si>
    <t>C0283</t>
  </si>
  <si>
    <t>C0189</t>
  </si>
  <si>
    <t>C0226</t>
  </si>
  <si>
    <t>C0375</t>
  </si>
  <si>
    <t>C0272</t>
  </si>
  <si>
    <t>C0229</t>
  </si>
  <si>
    <t>C0393</t>
  </si>
  <si>
    <t>C0361</t>
  </si>
  <si>
    <t>C0089</t>
  </si>
  <si>
    <t>C0061</t>
  </si>
  <si>
    <t>C0015</t>
  </si>
  <si>
    <t>C0139</t>
  </si>
  <si>
    <t>C0179</t>
  </si>
  <si>
    <t>C0325</t>
  </si>
  <si>
    <t>C0203</t>
  </si>
  <si>
    <t>C0330</t>
  </si>
  <si>
    <t>C0137</t>
  </si>
  <si>
    <t>C0253</t>
  </si>
  <si>
    <t>C0404</t>
  </si>
  <si>
    <t>C0247</t>
  </si>
  <si>
    <t>C0436</t>
  </si>
  <si>
    <t>C0035</t>
  </si>
  <si>
    <t>C0348</t>
  </si>
  <si>
    <t>C0377</t>
  </si>
  <si>
    <t>C0066</t>
  </si>
  <si>
    <t>C0472</t>
  </si>
  <si>
    <t>C0371</t>
  </si>
  <si>
    <t>C0298</t>
  </si>
  <si>
    <t>C0461</t>
  </si>
  <si>
    <t>C0217</t>
  </si>
  <si>
    <t>C0344</t>
  </si>
  <si>
    <t>C0274</t>
  </si>
  <si>
    <t>C0475</t>
  </si>
  <si>
    <t>C0214</t>
  </si>
  <si>
    <t>C0452</t>
  </si>
  <si>
    <t>C0292</t>
  </si>
  <si>
    <t>C0154</t>
  </si>
  <si>
    <t>C0047</t>
  </si>
  <si>
    <t>C0091</t>
  </si>
  <si>
    <t>C0153</t>
  </si>
  <si>
    <t>C0318</t>
  </si>
  <si>
    <t>C0276</t>
  </si>
  <si>
    <t>C0353</t>
  </si>
  <si>
    <t>C0340</t>
  </si>
  <si>
    <t>C0291</t>
  </si>
  <si>
    <t>C0184</t>
  </si>
  <si>
    <t>C0468</t>
  </si>
  <si>
    <t>C0441</t>
  </si>
  <si>
    <t>C0116</t>
  </si>
  <si>
    <t>C0496</t>
  </si>
  <si>
    <t>C0053</t>
  </si>
  <si>
    <t>C0165</t>
  </si>
  <si>
    <t>C0388</t>
  </si>
  <si>
    <t>C0102</t>
  </si>
  <si>
    <t>C0277</t>
  </si>
  <si>
    <t>C0098</t>
  </si>
  <si>
    <t>C0155</t>
  </si>
  <si>
    <t>C0020</t>
  </si>
  <si>
    <t>C0458</t>
  </si>
  <si>
    <t>C0442</t>
  </si>
  <si>
    <t>C0081</t>
  </si>
  <si>
    <t>C0042</t>
  </si>
  <si>
    <t>C0014</t>
  </si>
  <si>
    <t>C0426</t>
  </si>
  <si>
    <t>C0122</t>
  </si>
  <si>
    <t>C0192</t>
  </si>
  <si>
    <t>C0486</t>
  </si>
  <si>
    <t>C0074</t>
  </si>
  <si>
    <t>C0002</t>
  </si>
  <si>
    <t>C0473</t>
  </si>
  <si>
    <t>C0055</t>
  </si>
  <si>
    <t>C0422</t>
  </si>
  <si>
    <t>C0304</t>
  </si>
  <si>
    <t>C0410</t>
  </si>
  <si>
    <t>C0378</t>
  </si>
  <si>
    <t>C0223</t>
  </si>
  <si>
    <t>C0290</t>
  </si>
  <si>
    <t>C0241</t>
  </si>
  <si>
    <t>C0030</t>
  </si>
  <si>
    <t>C0445</t>
  </si>
  <si>
    <t>C0129</t>
  </si>
  <si>
    <t>C0197</t>
  </si>
  <si>
    <t>C0238</t>
  </si>
  <si>
    <t>C0489</t>
  </si>
  <si>
    <t>C0453</t>
  </si>
  <si>
    <t>C0424</t>
  </si>
  <si>
    <t>C0455</t>
  </si>
  <si>
    <t>C0054</t>
  </si>
  <si>
    <t>C0281</t>
  </si>
  <si>
    <t>C0476</t>
  </si>
  <si>
    <t>C0056</t>
  </si>
  <si>
    <t>C0477</t>
  </si>
  <si>
    <t>C0319</t>
  </si>
  <si>
    <t>C0314</t>
  </si>
  <si>
    <t>C0135</t>
  </si>
  <si>
    <t>C0337</t>
  </si>
  <si>
    <t>C0356</t>
  </si>
  <si>
    <t>C0470</t>
  </si>
  <si>
    <t>C0364</t>
  </si>
  <si>
    <t>C0457</t>
  </si>
  <si>
    <t>C0317</t>
  </si>
  <si>
    <t>C0411</t>
  </si>
  <si>
    <t>C0451</t>
  </si>
  <si>
    <t>C0068</t>
  </si>
  <si>
    <t>C0324</t>
  </si>
  <si>
    <t>C0420</t>
  </si>
  <si>
    <t>C0218</t>
  </si>
  <si>
    <t>C0418</t>
  </si>
  <si>
    <t>C0034</t>
  </si>
  <si>
    <t>C0490</t>
  </si>
  <si>
    <t>C0104</t>
  </si>
  <si>
    <t>C0009</t>
  </si>
  <si>
    <t>C0243</t>
  </si>
  <si>
    <t>C0016</t>
  </si>
  <si>
    <t>C0152</t>
  </si>
  <si>
    <t>C0252</t>
  </si>
  <si>
    <t>C0372</t>
  </si>
  <si>
    <t>C0381</t>
  </si>
  <si>
    <t>C0370</t>
  </si>
  <si>
    <t>C0286</t>
  </si>
  <si>
    <t>C0049</t>
  </si>
  <si>
    <t>C0086</t>
  </si>
  <si>
    <t>C0360</t>
  </si>
  <si>
    <t>C0366</t>
  </si>
  <si>
    <t>C0257</t>
  </si>
  <si>
    <t>C0331</t>
  </si>
  <si>
    <t>C0487</t>
  </si>
  <si>
    <t>C0181</t>
  </si>
  <si>
    <t>C0406</t>
  </si>
  <si>
    <t>C0431</t>
  </si>
  <si>
    <t>C0119</t>
  </si>
  <si>
    <t>C0391</t>
  </si>
  <si>
    <t>C0070</t>
  </si>
  <si>
    <t>C0373</t>
  </si>
  <si>
    <t>C0164</t>
  </si>
  <si>
    <t>C0101</t>
  </si>
  <si>
    <t>C0128</t>
  </si>
  <si>
    <t>C0495</t>
  </si>
  <si>
    <t>C0497</t>
  </si>
  <si>
    <t>C0384</t>
  </si>
  <si>
    <t>C0148</t>
  </si>
  <si>
    <t>C0037</t>
  </si>
  <si>
    <t>C0041</t>
  </si>
  <si>
    <t>C0246</t>
  </si>
  <si>
    <t>C0083</t>
  </si>
  <si>
    <t>C0297</t>
  </si>
  <si>
    <t>C0183</t>
  </si>
  <si>
    <t>C0263</t>
  </si>
  <si>
    <t>C0236</t>
  </si>
  <si>
    <t>C0025</t>
  </si>
  <si>
    <t>C0191</t>
  </si>
  <si>
    <t>C0228</t>
  </si>
  <si>
    <t>C0057</t>
  </si>
  <si>
    <t>C0402</t>
  </si>
  <si>
    <t>C0280</t>
  </si>
  <si>
    <t>C0082</t>
  </si>
  <si>
    <t>C0220</t>
  </si>
  <si>
    <t>C0440</t>
  </si>
  <si>
    <t>C0346</t>
  </si>
  <si>
    <t>C0174</t>
  </si>
  <si>
    <t>C0488</t>
  </si>
  <si>
    <t>C0180</t>
  </si>
  <si>
    <t>C0414</t>
  </si>
  <si>
    <t>C0227</t>
  </si>
  <si>
    <t>C0103</t>
  </si>
  <si>
    <t>C0481</t>
  </si>
  <si>
    <t>C0483</t>
  </si>
  <si>
    <t>C0254</t>
  </si>
  <si>
    <t>C0158</t>
  </si>
  <si>
    <t>C0062</t>
  </si>
  <si>
    <t>C0447</t>
  </si>
  <si>
    <t>C0033</t>
  </si>
  <si>
    <t>C0327</t>
  </si>
  <si>
    <t>C0279</t>
  </si>
  <si>
    <t>C0270</t>
  </si>
  <si>
    <t>C0359</t>
  </si>
  <si>
    <t>C0251</t>
  </si>
  <si>
    <t>C0073</t>
  </si>
  <si>
    <t>C0268</t>
  </si>
  <si>
    <t>C0172</t>
  </si>
  <si>
    <t>C0134</t>
  </si>
  <si>
    <t>C0430</t>
  </si>
  <si>
    <t>C0078</t>
  </si>
  <si>
    <t>C0308</t>
  </si>
  <si>
    <t>C0425</t>
  </si>
  <si>
    <t>C0205</t>
  </si>
  <si>
    <t>C0136</t>
  </si>
  <si>
    <t>C0182</t>
  </si>
  <si>
    <t>C0166</t>
  </si>
  <si>
    <t>C0108</t>
  </si>
  <si>
    <t>C0389</t>
  </si>
  <si>
    <t>C0063</t>
  </si>
  <si>
    <t>C0300</t>
  </si>
  <si>
    <t>C0163</t>
  </si>
  <si>
    <t>C0369</t>
  </si>
  <si>
    <t>C0448</t>
  </si>
  <si>
    <t>C0399</t>
  </si>
  <si>
    <t>C0466</t>
  </si>
  <si>
    <t>C0118</t>
  </si>
  <si>
    <t>C0100</t>
  </si>
  <si>
    <t>C0167</t>
  </si>
  <si>
    <t>C0027</t>
  </si>
  <si>
    <t>C0260</t>
  </si>
  <si>
    <t>C0039</t>
  </si>
  <si>
    <t>C0400</t>
  </si>
  <si>
    <t>C0071</t>
  </si>
  <si>
    <t>C0443</t>
  </si>
  <si>
    <t>C0264</t>
  </si>
  <si>
    <t>C0017</t>
  </si>
  <si>
    <t>C0188</t>
  </si>
  <si>
    <t>C0079</t>
  </si>
  <si>
    <t>C0333</t>
  </si>
  <si>
    <t>C0350</t>
  </si>
  <si>
    <t>C0199</t>
  </si>
  <si>
    <t>C0365</t>
  </si>
  <si>
    <t>C0048</t>
  </si>
  <si>
    <t>C0394</t>
  </si>
  <si>
    <t>C0219</t>
  </si>
  <si>
    <t>C0412</t>
  </si>
  <si>
    <t>C0052</t>
  </si>
  <si>
    <t>C0492</t>
  </si>
  <si>
    <t>C0491</t>
  </si>
  <si>
    <t>C0186</t>
  </si>
  <si>
    <t>C0358</t>
  </si>
  <si>
    <t>C0239</t>
  </si>
  <si>
    <t>C0080</t>
  </si>
  <si>
    <t>C0248</t>
  </si>
  <si>
    <t>C0237</t>
  </si>
  <si>
    <t>C0463</t>
  </si>
  <si>
    <t>C0232</t>
  </si>
  <si>
    <t>C0255</t>
  </si>
  <si>
    <t>C0065</t>
  </si>
  <si>
    <t>C0343</t>
  </si>
  <si>
    <t>C0117</t>
  </si>
  <si>
    <t>C0444</t>
  </si>
  <si>
    <t>C0295</t>
  </si>
  <si>
    <t>C0464</t>
  </si>
  <si>
    <t>C0367</t>
  </si>
  <si>
    <t>C0332</t>
  </si>
  <si>
    <t>C0288</t>
  </si>
  <si>
    <t>C0302</t>
  </si>
  <si>
    <t>C0162</t>
  </si>
  <si>
    <t>C0459</t>
  </si>
  <si>
    <t>C0244</t>
  </si>
  <si>
    <t>C0097</t>
  </si>
  <si>
    <t>C0395</t>
  </si>
  <si>
    <t>C0446</t>
  </si>
  <si>
    <t>C0376</t>
  </si>
  <si>
    <t>C0309</t>
  </si>
  <si>
    <t>C0011</t>
  </si>
  <si>
    <t>C0419</t>
  </si>
  <si>
    <t>C0130</t>
  </si>
  <si>
    <t>C0221</t>
  </si>
  <si>
    <t>C0351</t>
  </si>
  <si>
    <t>C0305</t>
  </si>
  <si>
    <t>C0125</t>
  </si>
  <si>
    <t>C0007</t>
  </si>
  <si>
    <t>C0211</t>
  </si>
  <si>
    <t>C0326</t>
  </si>
  <si>
    <t>C0193</t>
  </si>
  <si>
    <t>C0368</t>
  </si>
  <si>
    <t>C0060</t>
  </si>
  <si>
    <t>C0433</t>
  </si>
  <si>
    <t>C0040</t>
  </si>
  <si>
    <t>C0266</t>
  </si>
  <si>
    <t>C0417</t>
  </si>
  <si>
    <t>C0235</t>
  </si>
  <si>
    <t>C0454</t>
  </si>
  <si>
    <t>C0010</t>
  </si>
  <si>
    <t>C0224</t>
  </si>
  <si>
    <t>C0003</t>
  </si>
  <si>
    <t>C0385</t>
  </si>
  <si>
    <t>C0485</t>
  </si>
  <si>
    <t>C0387</t>
  </si>
  <si>
    <t>C0123</t>
  </si>
  <si>
    <t>C0106</t>
  </si>
  <si>
    <t>C0141</t>
  </si>
  <si>
    <t>C0026</t>
  </si>
  <si>
    <t>C0345</t>
  </si>
  <si>
    <t>C0409</t>
  </si>
  <si>
    <t>C0320</t>
  </si>
  <si>
    <t>C0115</t>
  </si>
  <si>
    <t>C0012</t>
  </si>
  <si>
    <t>C0285</t>
  </si>
  <si>
    <t>C0036</t>
  </si>
  <si>
    <t>C0316</t>
  </si>
  <si>
    <t>C0307</t>
  </si>
  <si>
    <t>C0299</t>
  </si>
  <si>
    <t>C0008</t>
  </si>
  <si>
    <t>C0067</t>
  </si>
  <si>
    <t>C0322</t>
  </si>
  <si>
    <t>C0075</t>
  </si>
  <si>
    <t>C0200</t>
  </si>
  <si>
    <t>C0450</t>
  </si>
  <si>
    <t>C0386</t>
  </si>
  <si>
    <t>C0427</t>
  </si>
  <si>
    <t>C0303</t>
  </si>
  <si>
    <t>C0187</t>
  </si>
  <si>
    <t>C0038</t>
  </si>
  <si>
    <t>C0323</t>
  </si>
  <si>
    <t>C0465</t>
  </si>
  <si>
    <t>C0206</t>
  </si>
  <si>
    <t>C0145</t>
  </si>
  <si>
    <t>C0392</t>
  </si>
  <si>
    <t>C0159</t>
  </si>
  <si>
    <t>C0382</t>
  </si>
  <si>
    <t>C0421</t>
  </si>
  <si>
    <t>C0084</t>
  </si>
  <si>
    <t>C0341</t>
  </si>
  <si>
    <t>C0044</t>
  </si>
  <si>
    <t>C0416</t>
  </si>
  <si>
    <t>C0284</t>
  </si>
  <si>
    <t>C0240</t>
  </si>
  <si>
    <t>C0132</t>
  </si>
  <si>
    <t>C0006</t>
  </si>
  <si>
    <t>C0363</t>
  </si>
  <si>
    <t>C0185</t>
  </si>
  <si>
    <t>C0262</t>
  </si>
  <si>
    <t>C0439</t>
  </si>
  <si>
    <t>C0177</t>
  </si>
  <si>
    <t>C0088</t>
  </si>
  <si>
    <t>C0126</t>
  </si>
  <si>
    <t>C0379</t>
  </si>
  <si>
    <t>C0024</t>
  </si>
  <si>
    <t>C0398</t>
  </si>
  <si>
    <t>C0312</t>
  </si>
  <si>
    <t>C0094</t>
  </si>
  <si>
    <t>C0355</t>
  </si>
  <si>
    <t>C0273</t>
  </si>
  <si>
    <t>C0467</t>
  </si>
  <si>
    <t>C0178</t>
  </si>
  <si>
    <t>C0031</t>
  </si>
  <si>
    <t>C0432</t>
  </si>
  <si>
    <t>C0207</t>
  </si>
  <si>
    <t>C0059</t>
  </si>
  <si>
    <t>C0313</t>
  </si>
  <si>
    <t>C0306</t>
  </si>
  <si>
    <t>C0245</t>
  </si>
  <si>
    <t>C0258</t>
  </si>
  <si>
    <t>C0131</t>
  </si>
  <si>
    <t>C0169</t>
  </si>
  <si>
    <t>C0213</t>
  </si>
  <si>
    <t>C0401</t>
  </si>
  <si>
    <t>C0500</t>
  </si>
  <si>
    <t>C0234</t>
  </si>
  <si>
    <t>C0147</t>
  </si>
  <si>
    <t>C0216</t>
  </si>
  <si>
    <t>C0058</t>
  </si>
  <si>
    <t>C0249</t>
  </si>
  <si>
    <t>C0480</t>
  </si>
  <si>
    <t>C0107</t>
  </si>
  <si>
    <t>C0259</t>
  </si>
  <si>
    <t>C0435</t>
  </si>
  <si>
    <t>C0231</t>
  </si>
  <si>
    <t>C0484</t>
  </si>
  <si>
    <t>C0109</t>
  </si>
  <si>
    <t>C0493</t>
  </si>
  <si>
    <t>C0196</t>
  </si>
  <si>
    <t>C0462</t>
  </si>
  <si>
    <t>C0352</t>
  </si>
  <si>
    <t>C0269</t>
  </si>
  <si>
    <t>C0334</t>
  </si>
  <si>
    <t>C0127</t>
  </si>
  <si>
    <t>C0397</t>
  </si>
  <si>
    <t>C0479</t>
  </si>
  <si>
    <t>C0160</t>
  </si>
  <si>
    <t>C0095</t>
  </si>
  <si>
    <t>C0499</t>
  </si>
  <si>
    <t>C0204</t>
  </si>
  <si>
    <t>C0051</t>
  </si>
  <si>
    <t>C0001</t>
  </si>
  <si>
    <t>C0173</t>
  </si>
  <si>
    <t>C0474</t>
  </si>
  <si>
    <t>C0315</t>
  </si>
  <si>
    <t>C0161</t>
  </si>
  <si>
    <t>C0121</t>
  </si>
  <si>
    <t>C0342</t>
  </si>
  <si>
    <t>C0022</t>
  </si>
  <si>
    <t>C0090</t>
  </si>
  <si>
    <t>C0149</t>
  </si>
  <si>
    <t>C0045</t>
  </si>
  <si>
    <t>C0157</t>
  </si>
  <si>
    <t>C0072</t>
  </si>
  <si>
    <t>C0374</t>
  </si>
  <si>
    <t>C0396</t>
  </si>
  <si>
    <t>C0456</t>
  </si>
  <si>
    <t>C0140</t>
  </si>
  <si>
    <t>C0380</t>
  </si>
  <si>
    <t>C0142</t>
  </si>
  <si>
    <t>C0339</t>
  </si>
  <si>
    <t>C0294</t>
  </si>
  <si>
    <t>C0146</t>
  </si>
  <si>
    <t>C0301</t>
  </si>
  <si>
    <t>C0311</t>
  </si>
  <si>
    <t>C0176</t>
  </si>
  <si>
    <t>C0222</t>
  </si>
  <si>
    <t>C0293</t>
  </si>
  <si>
    <t>C0018</t>
  </si>
  <si>
    <t>C0099</t>
  </si>
  <si>
    <t>C0005</t>
  </si>
  <si>
    <t>C0230</t>
  </si>
  <si>
    <t>C0150</t>
  </si>
  <si>
    <t>C0336</t>
  </si>
  <si>
    <t>C0362</t>
  </si>
  <si>
    <t>C0415</t>
  </si>
  <si>
    <t>C0212</t>
  </si>
  <si>
    <t>C0335</t>
  </si>
  <si>
    <t>C0423</t>
  </si>
  <si>
    <t>C0208</t>
  </si>
  <si>
    <t>C0233</t>
  </si>
  <si>
    <t>C0413</t>
  </si>
  <si>
    <t>C0282</t>
  </si>
  <si>
    <t>C0120</t>
  </si>
  <si>
    <t>C0265</t>
  </si>
  <si>
    <t>C0347</t>
  </si>
  <si>
    <t>C0046</t>
  </si>
  <si>
    <t>C0267</t>
  </si>
  <si>
    <t>C0329</t>
  </si>
  <si>
    <t>C0449</t>
  </si>
  <si>
    <t>C0428</t>
  </si>
  <si>
    <t>C0494</t>
  </si>
  <si>
    <t>C0242</t>
  </si>
  <si>
    <t>C0143</t>
  </si>
  <si>
    <t>C0408</t>
  </si>
  <si>
    <t>C0321</t>
  </si>
  <si>
    <t>C0093</t>
  </si>
  <si>
    <t>C0151</t>
  </si>
  <si>
    <t>C0403</t>
  </si>
  <si>
    <t>C0069</t>
  </si>
  <si>
    <t>C0209</t>
  </si>
  <si>
    <t>C0032</t>
  </si>
  <si>
    <t>C0478</t>
  </si>
  <si>
    <t>C0019</t>
  </si>
  <si>
    <t>C0438</t>
  </si>
  <si>
    <t>C0261</t>
  </si>
  <si>
    <t>C0407</t>
  </si>
  <si>
    <t>C0482</t>
  </si>
  <si>
    <t>C0434</t>
  </si>
  <si>
    <t>C0190</t>
  </si>
  <si>
    <t>C0429</t>
  </si>
  <si>
    <t>C0105</t>
  </si>
  <si>
    <t>C0013</t>
  </si>
  <si>
    <t>C0064</t>
  </si>
  <si>
    <t>C0225</t>
  </si>
  <si>
    <t>C0168</t>
  </si>
  <si>
    <t>C0471</t>
  </si>
  <si>
    <t>C0050</t>
  </si>
  <si>
    <t>C0201</t>
  </si>
  <si>
    <t>C0112</t>
  </si>
  <si>
    <t>C0004</t>
  </si>
  <si>
    <t>C0349</t>
  </si>
  <si>
    <t>C0138</t>
  </si>
  <si>
    <t>C0029</t>
  </si>
  <si>
    <t>C0028</t>
  </si>
  <si>
    <t>C0310</t>
  </si>
  <si>
    <t>C0110</t>
  </si>
  <si>
    <t>C0023</t>
  </si>
  <si>
    <t>C0437</t>
  </si>
  <si>
    <t>C0469</t>
  </si>
  <si>
    <t>C0278</t>
  </si>
  <si>
    <t>C0096</t>
  </si>
  <si>
    <t>C0296</t>
  </si>
  <si>
    <t>C0021</t>
  </si>
  <si>
    <t>C0287</t>
  </si>
  <si>
    <t>C0156</t>
  </si>
  <si>
    <t>C0124</t>
  </si>
  <si>
    <t>C0390</t>
  </si>
  <si>
    <t>C0383</t>
  </si>
  <si>
    <t>C0202</t>
  </si>
  <si>
    <t>C0171</t>
  </si>
  <si>
    <t>C0144</t>
  </si>
  <si>
    <t>C0271</t>
  </si>
  <si>
    <t>C0195</t>
  </si>
  <si>
    <t>C0405</t>
  </si>
  <si>
    <t>C0076</t>
  </si>
  <si>
    <t>C0357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</si>
</sst>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yyyy/mm/dd"/>
    <numFmt numFmtId="181" formatCode="&quot;$&quot;#,##0.00"/>
    <numFmt numFmtId="182" formatCode="0.00\x"/>
    <numFmt numFmtId="183" formatCode="0.00\%"/>
    <numFmt numFmtId="184" formatCode="&quot;$&quot;#,##0"/>
  </numFmts>
  <fonts count="37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1F4E78"/>
      <name val="Arial"/>
      <charset val="1"/>
    </font>
    <font>
      <b/>
      <sz val="11"/>
      <color theme="1"/>
      <name val="Calibri"/>
      <charset val="1"/>
    </font>
    <font>
      <b/>
      <sz val="22"/>
      <color rgb="FF000000"/>
      <name val="Calibri"/>
      <charset val="1"/>
    </font>
    <font>
      <i/>
      <sz val="11"/>
      <color rgb="FF595959"/>
      <name val="Arial"/>
      <charset val="1"/>
    </font>
    <font>
      <b/>
      <sz val="10"/>
      <color rgb="FF000000"/>
      <name val="Calibri"/>
      <charset val="1"/>
    </font>
    <font>
      <b/>
      <sz val="14"/>
      <color rgb="FF000000"/>
      <name val="Calibri"/>
      <charset val="1"/>
    </font>
    <font>
      <b/>
      <sz val="10"/>
      <color rgb="FF1F4E78"/>
      <name val="Arial"/>
      <charset val="1"/>
    </font>
    <font>
      <b/>
      <sz val="10"/>
      <color rgb="FF2E7D32"/>
      <name val="Arial"/>
      <charset val="1"/>
    </font>
    <font>
      <b/>
      <sz val="10"/>
      <color rgb="FFB8860B"/>
      <name val="Arial"/>
      <charset val="1"/>
    </font>
    <font>
      <b/>
      <sz val="10"/>
      <color rgb="FF8E24AA"/>
      <name val="Arial"/>
      <charset val="1"/>
    </font>
    <font>
      <b/>
      <sz val="10"/>
      <color rgb="FFC62828"/>
      <name val="Arial"/>
      <charset val="1"/>
    </font>
    <font>
      <b/>
      <sz val="10"/>
      <color rgb="FF00695C"/>
      <name val="Arial"/>
      <charset val="1"/>
    </font>
    <font>
      <i/>
      <sz val="9"/>
      <color rgb="FF595959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16" fillId="0" borderId="0" applyBorder="0" applyAlignment="0" applyProtection="0"/>
    <xf numFmtId="177" fontId="16" fillId="0" borderId="0" applyBorder="0" applyAlignment="0" applyProtection="0"/>
    <xf numFmtId="9" fontId="16" fillId="0" borderId="0" applyBorder="0" applyAlignment="0" applyProtection="0"/>
    <xf numFmtId="178" fontId="16" fillId="0" borderId="0" applyBorder="0" applyAlignment="0" applyProtection="0"/>
    <xf numFmtId="179" fontId="16" fillId="0" borderId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3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35" applyNumberFormat="0" applyAlignment="0" applyProtection="0">
      <alignment vertical="center"/>
    </xf>
    <xf numFmtId="0" fontId="27" fillId="6" borderId="36" applyNumberFormat="0" applyAlignment="0" applyProtection="0">
      <alignment vertical="center"/>
    </xf>
    <xf numFmtId="0" fontId="28" fillId="6" borderId="35" applyNumberFormat="0" applyAlignment="0" applyProtection="0">
      <alignment vertical="center"/>
    </xf>
    <xf numFmtId="0" fontId="29" fillId="7" borderId="37" applyNumberFormat="0" applyAlignment="0" applyProtection="0">
      <alignment vertical="center"/>
    </xf>
    <xf numFmtId="0" fontId="30" fillId="0" borderId="38" applyNumberFormat="0" applyFill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0" fillId="0" borderId="0">
      <alignment horizontal="left"/>
    </xf>
    <xf numFmtId="0" fontId="0" fillId="0" borderId="0"/>
    <xf numFmtId="0" fontId="0" fillId="0" borderId="0"/>
    <xf numFmtId="0" fontId="4" fillId="0" borderId="0"/>
    <xf numFmtId="0" fontId="4" fillId="0" borderId="0">
      <alignment horizontal="left"/>
    </xf>
    <xf numFmtId="0" fontId="0" fillId="0" borderId="0"/>
  </cellStyleXfs>
  <cellXfs count="71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180" fontId="2" fillId="0" borderId="1" xfId="0" applyNumberFormat="1" applyFont="1" applyBorder="1" applyAlignment="1"/>
    <xf numFmtId="181" fontId="2" fillId="0" borderId="1" xfId="0" applyNumberFormat="1" applyFont="1" applyBorder="1" applyAlignment="1"/>
    <xf numFmtId="10" fontId="2" fillId="0" borderId="1" xfId="0" applyNumberFormat="1" applyFont="1" applyBorder="1" applyAlignment="1"/>
    <xf numFmtId="182" fontId="2" fillId="0" borderId="1" xfId="0" applyNumberFormat="1" applyFont="1" applyBorder="1" applyAlignment="1"/>
    <xf numFmtId="183" fontId="2" fillId="0" borderId="1" xfId="0" applyNumberFormat="1" applyFont="1" applyBorder="1" applyAlignment="1"/>
    <xf numFmtId="0" fontId="3" fillId="0" borderId="0" xfId="0" applyFont="1" applyBorder="1" applyAlignment="1"/>
    <xf numFmtId="0" fontId="3" fillId="0" borderId="0" xfId="0" applyFont="1" applyAlignment="1"/>
    <xf numFmtId="184" fontId="0" fillId="0" borderId="1" xfId="0" applyNumberFormat="1" applyBorder="1" applyAlignment="1"/>
    <xf numFmtId="0" fontId="0" fillId="0" borderId="1" xfId="0" applyBorder="1" applyAlignment="1"/>
    <xf numFmtId="182" fontId="0" fillId="0" borderId="1" xfId="0" applyNumberFormat="1" applyBorder="1" applyAlignment="1"/>
    <xf numFmtId="3" fontId="0" fillId="0" borderId="1" xfId="0" applyNumberFormat="1" applyBorder="1" applyAlignment="1"/>
    <xf numFmtId="0" fontId="0" fillId="0" borderId="2" xfId="50" applyBorder="1"/>
    <xf numFmtId="0" fontId="0" fillId="0" borderId="3" xfId="50" applyBorder="1"/>
    <xf numFmtId="0" fontId="0" fillId="0" borderId="4" xfId="51" applyFont="1" applyBorder="1"/>
    <xf numFmtId="0" fontId="0" fillId="0" borderId="5" xfId="50" applyBorder="1"/>
    <xf numFmtId="0" fontId="0" fillId="0" borderId="6" xfId="50" applyBorder="1"/>
    <xf numFmtId="0" fontId="0" fillId="0" borderId="7" xfId="51" applyFont="1" applyBorder="1"/>
    <xf numFmtId="0" fontId="0" fillId="0" borderId="8" xfId="51" applyFont="1" applyBorder="1"/>
    <xf numFmtId="0" fontId="0" fillId="0" borderId="9" xfId="49" applyFont="1" applyBorder="1">
      <alignment horizontal="left"/>
    </xf>
    <xf numFmtId="0" fontId="0" fillId="0" borderId="10" xfId="49" applyFont="1" applyBorder="1">
      <alignment horizontal="left"/>
    </xf>
    <xf numFmtId="0" fontId="4" fillId="0" borderId="11" xfId="53" applyFont="1" applyBorder="1">
      <alignment horizontal="left"/>
    </xf>
    <xf numFmtId="0" fontId="0" fillId="0" borderId="12" xfId="49" applyFont="1" applyBorder="1">
      <alignment horizontal="left"/>
    </xf>
    <xf numFmtId="0" fontId="0" fillId="0" borderId="13" xfId="49" applyBorder="1">
      <alignment horizontal="left"/>
    </xf>
    <xf numFmtId="0" fontId="0" fillId="0" borderId="14" xfId="54" applyBorder="1"/>
    <xf numFmtId="0" fontId="0" fillId="0" borderId="15" xfId="54" applyBorder="1"/>
    <xf numFmtId="0" fontId="0" fillId="0" borderId="13" xfId="54" applyBorder="1"/>
    <xf numFmtId="0" fontId="4" fillId="0" borderId="16" xfId="52" applyBorder="1"/>
    <xf numFmtId="0" fontId="0" fillId="0" borderId="17" xfId="49" applyBorder="1">
      <alignment horizontal="left"/>
    </xf>
    <xf numFmtId="0" fontId="0" fillId="0" borderId="18" xfId="49" applyFont="1" applyBorder="1">
      <alignment horizontal="left"/>
    </xf>
    <xf numFmtId="181" fontId="0" fillId="0" borderId="19" xfId="54" applyNumberFormat="1" applyBorder="1"/>
    <xf numFmtId="181" fontId="0" fillId="0" borderId="0" xfId="54" applyNumberFormat="1"/>
    <xf numFmtId="181" fontId="0" fillId="0" borderId="18" xfId="54" applyNumberFormat="1" applyBorder="1"/>
    <xf numFmtId="181" fontId="4" fillId="0" borderId="20" xfId="52" applyNumberFormat="1" applyBorder="1"/>
    <xf numFmtId="0" fontId="0" fillId="0" borderId="9" xfId="54" applyBorder="1"/>
    <xf numFmtId="0" fontId="0" fillId="0" borderId="10" xfId="54" applyBorder="1"/>
    <xf numFmtId="0" fontId="0" fillId="0" borderId="8" xfId="54" applyBorder="1"/>
    <xf numFmtId="0" fontId="4" fillId="0" borderId="21" xfId="52" applyBorder="1"/>
    <xf numFmtId="0" fontId="4" fillId="0" borderId="17" xfId="53" applyFont="1" applyBorder="1">
      <alignment horizontal="left"/>
    </xf>
    <xf numFmtId="0" fontId="4" fillId="0" borderId="18" xfId="53" applyBorder="1">
      <alignment horizontal="left"/>
    </xf>
    <xf numFmtId="181" fontId="4" fillId="0" borderId="0" xfId="52" applyNumberFormat="1"/>
    <xf numFmtId="181" fontId="4" fillId="0" borderId="22" xfId="52" applyNumberFormat="1" applyBorder="1"/>
    <xf numFmtId="181" fontId="4" fillId="0" borderId="23" xfId="52" applyNumberFormat="1" applyBorder="1"/>
    <xf numFmtId="181" fontId="4" fillId="0" borderId="24" xfId="52" applyNumberFormat="1" applyBorder="1"/>
    <xf numFmtId="181" fontId="4" fillId="0" borderId="25" xfId="52" applyNumberFormat="1" applyBorder="1"/>
    <xf numFmtId="0" fontId="4" fillId="0" borderId="26" xfId="53" applyFont="1" applyBorder="1">
      <alignment horizontal="left"/>
    </xf>
    <xf numFmtId="0" fontId="4" fillId="0" borderId="27" xfId="53" applyBorder="1">
      <alignment horizontal="left"/>
    </xf>
    <xf numFmtId="0" fontId="4" fillId="0" borderId="28" xfId="52" applyBorder="1"/>
    <xf numFmtId="0" fontId="4" fillId="0" borderId="29" xfId="52" applyBorder="1"/>
    <xf numFmtId="0" fontId="4" fillId="0" borderId="30" xfId="52" applyBorder="1"/>
    <xf numFmtId="0" fontId="4" fillId="0" borderId="31" xfId="52" applyBorder="1"/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/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180" fontId="7" fillId="3" borderId="1" xfId="0" applyNumberFormat="1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184" fontId="8" fillId="0" borderId="0" xfId="0" applyNumberFormat="1" applyFont="1" applyBorder="1" applyAlignment="1">
      <alignment horizontal="center"/>
    </xf>
    <xf numFmtId="3" fontId="8" fillId="0" borderId="0" xfId="0" applyNumberFormat="1" applyFont="1" applyBorder="1" applyAlignment="1">
      <alignment horizontal="center"/>
    </xf>
    <xf numFmtId="182" fontId="8" fillId="0" borderId="0" xfId="0" applyNumberFormat="1" applyFont="1" applyBorder="1" applyAlignment="1">
      <alignment horizontal="center"/>
    </xf>
    <xf numFmtId="10" fontId="8" fillId="0" borderId="0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Border="1" applyAlignment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Pivot Table Category" xfId="49"/>
    <cellStyle name="Pivot Table Corner" xfId="50"/>
    <cellStyle name="Pivot Table Field" xfId="51"/>
    <cellStyle name="Pivot Table Result" xfId="52"/>
    <cellStyle name="Pivot Table Title" xfId="53"/>
    <cellStyle name="Pivot Table Value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B8860B"/>
      <rgbColor rgb="00800080"/>
      <rgbColor rgb="0000695C"/>
      <rgbColor rgb="00B7B7B7"/>
      <rgbColor rgb="00878787"/>
      <rgbColor rgb="009999FF"/>
      <rgbColor rgb="008E24AA"/>
      <rgbColor rgb="00F2F2F2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A7EBB"/>
      <rgbColor rgb="004BACC6"/>
      <rgbColor rgb="009BBB59"/>
      <rgbColor rgb="00FFCC00"/>
      <rgbColor rgb="00FF9900"/>
      <rgbColor rgb="00C0504D"/>
      <rgbColor rgb="008064A2"/>
      <rgbColor rgb="004F81BD"/>
      <rgbColor rgb="00003366"/>
      <rgbColor rgb="002E7D32"/>
      <rgbColor rgb="00003300"/>
      <rgbColor rgb="00333300"/>
      <rgbColor rgb="00C62828"/>
      <rgbColor rgb="00BE4B48"/>
      <rgbColor rgb="001F4E78"/>
      <rgbColor rgb="00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Spend vs Revenue Over Time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Summary!$B$21:$B$21</c:f>
              <c:strCache>
                <c:ptCount val="1"/>
                <c:pt idx="0">
                  <c:v>Spend ($)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Summary!$A$22:$A$28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Summary!$B$22:$B$28</c:f>
              <c:numCache>
                <c:formatCode>"$"#,##0</c:formatCode>
                <c:ptCount val="7"/>
                <c:pt idx="0">
                  <c:v>387223.67</c:v>
                </c:pt>
                <c:pt idx="1">
                  <c:v>451320.34</c:v>
                </c:pt>
                <c:pt idx="2">
                  <c:v>519247.21</c:v>
                </c:pt>
                <c:pt idx="3">
                  <c:v>437450.39</c:v>
                </c:pt>
                <c:pt idx="4">
                  <c:v>649014.28</c:v>
                </c:pt>
                <c:pt idx="5">
                  <c:v>558132.99</c:v>
                </c:pt>
                <c:pt idx="6">
                  <c:v>130119.31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Summary!$C$21:$C$21</c:f>
              <c:strCache>
                <c:ptCount val="1"/>
                <c:pt idx="0">
                  <c:v>Revenue ($)</c:v>
                </c:pt>
              </c:strCache>
            </c:strRef>
          </c:tx>
          <c:spPr>
            <a:ln w="2844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Summary!$A$22:$A$28</c:f>
              <c:strCache>
                <c:ptCount val="7"/>
                <c:pt idx="0">
                  <c:v>2024-12</c:v>
                </c:pt>
                <c:pt idx="1">
                  <c:v>2025-01</c:v>
                </c:pt>
                <c:pt idx="2">
                  <c:v>2025-02</c:v>
                </c:pt>
                <c:pt idx="3">
                  <c:v>2025-03</c:v>
                </c:pt>
                <c:pt idx="4">
                  <c:v>2025-04</c:v>
                </c:pt>
                <c:pt idx="5">
                  <c:v>2025-05</c:v>
                </c:pt>
                <c:pt idx="6">
                  <c:v>2025-06</c:v>
                </c:pt>
              </c:strCache>
            </c:strRef>
          </c:cat>
          <c:val>
            <c:numRef>
              <c:f>Summary!$C$22:$C$28</c:f>
              <c:numCache>
                <c:formatCode>"$"#,##0</c:formatCode>
                <c:ptCount val="7"/>
                <c:pt idx="0">
                  <c:v>669060.35</c:v>
                </c:pt>
                <c:pt idx="1">
                  <c:v>1049410.8</c:v>
                </c:pt>
                <c:pt idx="2">
                  <c:v>1178268.76</c:v>
                </c:pt>
                <c:pt idx="3">
                  <c:v>941547.01</c:v>
                </c:pt>
                <c:pt idx="4">
                  <c:v>1226839</c:v>
                </c:pt>
                <c:pt idx="5">
                  <c:v>1149303.78</c:v>
                </c:pt>
                <c:pt idx="6">
                  <c:v>338518.38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53665221"/>
        <c:axId val="58612207"/>
      </c:lineChart>
      <c:catAx>
        <c:axId val="5366522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Month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8612207"/>
        <c:crosses val="autoZero"/>
        <c:auto val="1"/>
        <c:lblAlgn val="ctr"/>
        <c:lblOffset val="100"/>
        <c:noMultiLvlLbl val="0"/>
      </c:catAx>
      <c:valAx>
        <c:axId val="58612207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Amount ($)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&quot;$&quot;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36652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31d6ba-8659-4dcd-b64e-9c6a9e17781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Channel-wise ROAS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Summary!$E$4:$E$4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Summary!$A$5:$A$9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Twitter</c:v>
                </c:pt>
              </c:strCache>
            </c:strRef>
          </c:cat>
          <c:val>
            <c:numRef>
              <c:f>Summary!$E$5:$E$9</c:f>
              <c:numCache>
                <c:formatCode>0.00\x</c:formatCode>
                <c:ptCount val="5"/>
                <c:pt idx="0">
                  <c:v>2.24729934078482</c:v>
                </c:pt>
                <c:pt idx="1">
                  <c:v>2.15159408947654</c:v>
                </c:pt>
                <c:pt idx="2">
                  <c:v>2.29205724856146</c:v>
                </c:pt>
                <c:pt idx="3">
                  <c:v>1.97477860224009</c:v>
                </c:pt>
                <c:pt idx="4">
                  <c:v>1.82574627831351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5168470"/>
        <c:axId val="23340420"/>
      </c:barChart>
      <c:catAx>
        <c:axId val="51684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23340420"/>
        <c:crosses val="autoZero"/>
        <c:auto val="1"/>
        <c:lblAlgn val="ctr"/>
        <c:lblOffset val="100"/>
        <c:noMultiLvlLbl val="0"/>
      </c:catAx>
      <c:valAx>
        <c:axId val="23340420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ROAS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1684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8ead044d-7897-4cd3-bac4-abd46c92c9fa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Region-wise Conversions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Summary!$D$13:$D$13</c:f>
              <c:strCache>
                <c:ptCount val="1"/>
                <c:pt idx="0">
                  <c:v>Conversions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Summary!$A$14:$A$17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Summary!$D$14:$D$17</c:f>
              <c:numCache>
                <c:formatCode>General</c:formatCode>
                <c:ptCount val="4"/>
                <c:pt idx="0">
                  <c:v>41460</c:v>
                </c:pt>
                <c:pt idx="1">
                  <c:v>46771</c:v>
                </c:pt>
                <c:pt idx="2">
                  <c:v>47588</c:v>
                </c:pt>
                <c:pt idx="3">
                  <c:v>48707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13460613"/>
        <c:axId val="59463371"/>
      </c:barChart>
      <c:catAx>
        <c:axId val="134606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9463371"/>
        <c:crosses val="autoZero"/>
        <c:auto val="1"/>
        <c:lblAlgn val="ctr"/>
        <c:lblOffset val="100"/>
        <c:noMultiLvlLbl val="0"/>
      </c:catAx>
      <c:valAx>
        <c:axId val="59463371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Conversions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34606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5c7f1969-6710-4a3f-9775-42bf387a5cef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Budget Allocation by Channel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>
        <c:manualLayout>
          <c:xMode val="edge"/>
          <c:yMode val="edge"/>
          <c:x val="0.0245370335882192"/>
          <c:y val="0.0609893773592368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Summary!$B$39:$B$39</c:f>
              <c:strCache>
                <c:ptCount val="1"/>
                <c:pt idx="0">
                  <c:v>Budget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</c:dPt>
          <c:dLbls>
            <c:delete val="1"/>
          </c:dLbls>
          <c:cat>
            <c:strRef>
              <c:f>Summary!$A$40:$A$44</c:f>
              <c:strCache>
                <c:ptCount val="5"/>
                <c:pt idx="0">
                  <c:v>Facebook</c:v>
                </c:pt>
                <c:pt idx="1">
                  <c:v>Google Ads</c:v>
                </c:pt>
                <c:pt idx="2">
                  <c:v>Instagram</c:v>
                </c:pt>
                <c:pt idx="3">
                  <c:v>LinkedIn</c:v>
                </c:pt>
                <c:pt idx="4">
                  <c:v>Twitter</c:v>
                </c:pt>
              </c:strCache>
            </c:strRef>
          </c:cat>
          <c:val>
            <c:numRef>
              <c:f>Summary!$B$40:$B$44</c:f>
              <c:numCache>
                <c:formatCode>"$"#,##0</c:formatCode>
                <c:ptCount val="5"/>
                <c:pt idx="0">
                  <c:v>609756.67</c:v>
                </c:pt>
                <c:pt idx="1">
                  <c:v>658766.93</c:v>
                </c:pt>
                <c:pt idx="2">
                  <c:v>655972.1</c:v>
                </c:pt>
                <c:pt idx="3">
                  <c:v>689111.07</c:v>
                </c:pt>
                <c:pt idx="4">
                  <c:v>698066.24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2a71d18-5fc0-40db-8e95-5f9b2253f87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Funnel: Impressions → Clicks → Conversions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Summary!$B$32:$B$32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Summary!$A$33:$A$35</c:f>
              <c:strCache>
                <c:ptCount val="3"/>
                <c:pt idx="0">
                  <c:v>Impressions</c:v>
                </c:pt>
                <c:pt idx="1">
                  <c:v>Clicks</c:v>
                </c:pt>
                <c:pt idx="2">
                  <c:v>Conversions</c:v>
                </c:pt>
              </c:strCache>
            </c:strRef>
          </c:cat>
          <c:val>
            <c:numRef>
              <c:f>Summary!$B$33:$B$35</c:f>
              <c:numCache>
                <c:formatCode>#,##0</c:formatCode>
                <c:ptCount val="3"/>
                <c:pt idx="0">
                  <c:v>62386067</c:v>
                </c:pt>
                <c:pt idx="1">
                  <c:v>1814121</c:v>
                </c:pt>
                <c:pt idx="2">
                  <c:v>184526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99887855"/>
        <c:axId val="45502908"/>
      </c:barChart>
      <c:catAx>
        <c:axId val="9988785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5502908"/>
        <c:crosses val="autoZero"/>
        <c:auto val="1"/>
        <c:lblAlgn val="ctr"/>
        <c:lblOffset val="100"/>
        <c:noMultiLvlLbl val="0"/>
      </c:catAx>
      <c:valAx>
        <c:axId val="45502908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998878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8f0b934d-9ba8-49e3-95d9-74c3499a206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9</xdr:row>
      <xdr:rowOff>101160</xdr:rowOff>
    </xdr:from>
    <xdr:to>
      <xdr:col>9</xdr:col>
      <xdr:colOff>0</xdr:colOff>
      <xdr:row>24</xdr:row>
      <xdr:rowOff>122040</xdr:rowOff>
    </xdr:to>
    <xdr:graphicFrame>
      <xdr:nvGraphicFramePr>
        <xdr:cNvPr id="2" name="Chart 1"/>
        <xdr:cNvGraphicFramePr/>
      </xdr:nvGraphicFramePr>
      <xdr:xfrm>
        <a:off x="578485" y="2139315"/>
        <a:ext cx="6136640" cy="2878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9</xdr:row>
      <xdr:rowOff>101160</xdr:rowOff>
    </xdr:from>
    <xdr:to>
      <xdr:col>15</xdr:col>
      <xdr:colOff>572040</xdr:colOff>
      <xdr:row>24</xdr:row>
      <xdr:rowOff>122040</xdr:rowOff>
    </xdr:to>
    <xdr:graphicFrame>
      <xdr:nvGraphicFramePr>
        <xdr:cNvPr id="3" name="Chart 2"/>
        <xdr:cNvGraphicFramePr/>
      </xdr:nvGraphicFramePr>
      <xdr:xfrm>
        <a:off x="6715125" y="2139315"/>
        <a:ext cx="4796790" cy="2878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100800</xdr:rowOff>
    </xdr:from>
    <xdr:to>
      <xdr:col>7</xdr:col>
      <xdr:colOff>173160</xdr:colOff>
      <xdr:row>41</xdr:row>
      <xdr:rowOff>122040</xdr:rowOff>
    </xdr:to>
    <xdr:graphicFrame>
      <xdr:nvGraphicFramePr>
        <xdr:cNvPr id="4" name="Chart 3"/>
        <xdr:cNvGraphicFramePr/>
      </xdr:nvGraphicFramePr>
      <xdr:xfrm>
        <a:off x="578485" y="5377180"/>
        <a:ext cx="4775200" cy="2879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723900</xdr:colOff>
      <xdr:row>27</xdr:row>
      <xdr:rowOff>71120</xdr:rowOff>
    </xdr:from>
    <xdr:to>
      <xdr:col>15</xdr:col>
      <xdr:colOff>528860</xdr:colOff>
      <xdr:row>42</xdr:row>
      <xdr:rowOff>92360</xdr:rowOff>
    </xdr:to>
    <xdr:graphicFrame>
      <xdr:nvGraphicFramePr>
        <xdr:cNvPr id="5" name="Chart 4"/>
        <xdr:cNvGraphicFramePr/>
      </xdr:nvGraphicFramePr>
      <xdr:xfrm>
        <a:off x="6671945" y="5538470"/>
        <a:ext cx="4796790" cy="2878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43</xdr:row>
      <xdr:rowOff>100800</xdr:rowOff>
    </xdr:from>
    <xdr:to>
      <xdr:col>7</xdr:col>
      <xdr:colOff>173160</xdr:colOff>
      <xdr:row>58</xdr:row>
      <xdr:rowOff>122040</xdr:rowOff>
    </xdr:to>
    <xdr:graphicFrame>
      <xdr:nvGraphicFramePr>
        <xdr:cNvPr id="6" name="Chart 5"/>
        <xdr:cNvGraphicFramePr/>
      </xdr:nvGraphicFramePr>
      <xdr:xfrm>
        <a:off x="578485" y="8615680"/>
        <a:ext cx="4775200" cy="28790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3" refreshedDate="0" recordCount="500">
  <cacheSource type="worksheet">
    <worksheetSource ref="A1:Q501" sheet="Raw_Data"/>
  </cacheSource>
  <cacheFields count="17">
    <cacheField name="Campaign_ID" numFmtId="0">
      <sharedItems count="500">
        <s v="C0001"/>
        <s v="C0002"/>
        <s v="C0003"/>
        <s v="C0004"/>
        <s v="C0005"/>
        <s v="C0006"/>
        <s v="C0007"/>
        <s v="C0008"/>
        <s v="C0009"/>
        <s v="C0010"/>
        <s v="C0011"/>
        <s v="C0012"/>
        <s v="C0013"/>
        <s v="C0014"/>
        <s v="C0015"/>
        <s v="C0016"/>
        <s v="C0017"/>
        <s v="C0018"/>
        <s v="C0019"/>
        <s v="C0020"/>
        <s v="C0021"/>
        <s v="C0022"/>
        <s v="C0023"/>
        <s v="C0024"/>
        <s v="C0025"/>
        <s v="C0026"/>
        <s v="C0027"/>
        <s v="C0028"/>
        <s v="C0029"/>
        <s v="C0030"/>
        <s v="C0031"/>
        <s v="C0032"/>
        <s v="C0033"/>
        <s v="C0034"/>
        <s v="C0035"/>
        <s v="C0036"/>
        <s v="C0037"/>
        <s v="C0038"/>
        <s v="C0039"/>
        <s v="C0040"/>
        <s v="C0041"/>
        <s v="C0042"/>
        <s v="C0043"/>
        <s v="C0044"/>
        <s v="C0045"/>
        <s v="C0046"/>
        <s v="C0047"/>
        <s v="C0048"/>
        <s v="C0049"/>
        <s v="C0050"/>
        <s v="C0051"/>
        <s v="C0052"/>
        <s v="C0053"/>
        <s v="C0054"/>
        <s v="C0055"/>
        <s v="C0056"/>
        <s v="C0057"/>
        <s v="C0058"/>
        <s v="C0059"/>
        <s v="C0060"/>
        <s v="C0061"/>
        <s v="C0062"/>
        <s v="C0063"/>
        <s v="C0064"/>
        <s v="C0065"/>
        <s v="C0066"/>
        <s v="C0067"/>
        <s v="C0068"/>
        <s v="C0069"/>
        <s v="C0070"/>
        <s v="C0071"/>
        <s v="C0072"/>
        <s v="C0073"/>
        <s v="C0074"/>
        <s v="C0075"/>
        <s v="C0076"/>
        <s v="C0077"/>
        <s v="C0078"/>
        <s v="C0079"/>
        <s v="C0080"/>
        <s v="C0081"/>
        <s v="C0082"/>
        <s v="C0083"/>
        <s v="C0084"/>
        <s v="C0085"/>
        <s v="C0086"/>
        <s v="C0087"/>
        <s v="C0088"/>
        <s v="C0089"/>
        <s v="C0090"/>
        <s v="C0091"/>
        <s v="C0092"/>
        <s v="C0093"/>
        <s v="C0094"/>
        <s v="C0095"/>
        <s v="C0096"/>
        <s v="C0097"/>
        <s v="C0098"/>
        <s v="C0099"/>
        <s v="C0100"/>
        <s v="C0101"/>
        <s v="C0102"/>
        <s v="C0103"/>
        <s v="C0104"/>
        <s v="C0105"/>
        <s v="C0106"/>
        <s v="C0107"/>
        <s v="C0108"/>
        <s v="C0109"/>
        <s v="C0110"/>
        <s v="C0111"/>
        <s v="C0112"/>
        <s v="C0113"/>
        <s v="C0114"/>
        <s v="C0115"/>
        <s v="C0116"/>
        <s v="C0117"/>
        <s v="C0118"/>
        <s v="C0119"/>
        <s v="C0120"/>
        <s v="C0121"/>
        <s v="C0122"/>
        <s v="C0123"/>
        <s v="C0124"/>
        <s v="C0125"/>
        <s v="C0126"/>
        <s v="C0127"/>
        <s v="C0128"/>
        <s v="C0129"/>
        <s v="C0130"/>
        <s v="C0131"/>
        <s v="C0132"/>
        <s v="C0133"/>
        <s v="C0134"/>
        <s v="C0135"/>
        <s v="C0136"/>
        <s v="C0137"/>
        <s v="C0138"/>
        <s v="C0139"/>
        <s v="C0140"/>
        <s v="C0141"/>
        <s v="C0142"/>
        <s v="C0143"/>
        <s v="C0144"/>
        <s v="C0145"/>
        <s v="C0146"/>
        <s v="C0147"/>
        <s v="C0148"/>
        <s v="C0149"/>
        <s v="C0150"/>
        <s v="C0151"/>
        <s v="C0152"/>
        <s v="C0153"/>
        <s v="C0154"/>
        <s v="C0155"/>
        <s v="C0156"/>
        <s v="C0157"/>
        <s v="C0158"/>
        <s v="C0159"/>
        <s v="C0160"/>
        <s v="C0161"/>
        <s v="C0162"/>
        <s v="C0163"/>
        <s v="C0164"/>
        <s v="C0165"/>
        <s v="C0166"/>
        <s v="C0167"/>
        <s v="C0168"/>
        <s v="C0169"/>
        <s v="C0170"/>
        <s v="C0171"/>
        <s v="C0172"/>
        <s v="C0173"/>
        <s v="C0174"/>
        <s v="C0175"/>
        <s v="C0176"/>
        <s v="C0177"/>
        <s v="C0178"/>
        <s v="C0179"/>
        <s v="C0180"/>
        <s v="C0181"/>
        <s v="C0182"/>
        <s v="C0183"/>
        <s v="C0184"/>
        <s v="C0185"/>
        <s v="C0186"/>
        <s v="C0187"/>
        <s v="C0188"/>
        <s v="C0189"/>
        <s v="C0190"/>
        <s v="C0191"/>
        <s v="C0192"/>
        <s v="C0193"/>
        <s v="C0194"/>
        <s v="C0195"/>
        <s v="C0196"/>
        <s v="C0197"/>
        <s v="C0198"/>
        <s v="C0199"/>
        <s v="C0200"/>
        <s v="C0201"/>
        <s v="C0202"/>
        <s v="C0203"/>
        <s v="C0204"/>
        <s v="C0205"/>
        <s v="C0206"/>
        <s v="C0207"/>
        <s v="C0208"/>
        <s v="C0209"/>
        <s v="C0210"/>
        <s v="C0211"/>
        <s v="C0212"/>
        <s v="C0213"/>
        <s v="C0214"/>
        <s v="C0215"/>
        <s v="C0216"/>
        <s v="C0217"/>
        <s v="C0218"/>
        <s v="C0219"/>
        <s v="C0220"/>
        <s v="C0221"/>
        <s v="C0222"/>
        <s v="C0223"/>
        <s v="C0224"/>
        <s v="C0225"/>
        <s v="C0226"/>
        <s v="C0227"/>
        <s v="C0228"/>
        <s v="C0229"/>
        <s v="C0230"/>
        <s v="C0231"/>
        <s v="C0232"/>
        <s v="C0233"/>
        <s v="C0234"/>
        <s v="C0235"/>
        <s v="C0236"/>
        <s v="C0237"/>
        <s v="C0238"/>
        <s v="C0239"/>
        <s v="C0240"/>
        <s v="C0241"/>
        <s v="C0242"/>
        <s v="C0243"/>
        <s v="C0244"/>
        <s v="C0245"/>
        <s v="C0246"/>
        <s v="C0247"/>
        <s v="C0248"/>
        <s v="C0249"/>
        <s v="C0250"/>
        <s v="C0251"/>
        <s v="C0252"/>
        <s v="C0253"/>
        <s v="C0254"/>
        <s v="C0255"/>
        <s v="C0256"/>
        <s v="C0257"/>
        <s v="C0258"/>
        <s v="C0259"/>
        <s v="C0260"/>
        <s v="C0261"/>
        <s v="C0262"/>
        <s v="C0263"/>
        <s v="C0264"/>
        <s v="C0265"/>
        <s v="C0266"/>
        <s v="C0267"/>
        <s v="C0268"/>
        <s v="C0269"/>
        <s v="C0270"/>
        <s v="C0271"/>
        <s v="C0272"/>
        <s v="C0273"/>
        <s v="C0274"/>
        <s v="C0275"/>
        <s v="C0276"/>
        <s v="C0277"/>
        <s v="C0278"/>
        <s v="C0279"/>
        <s v="C0280"/>
        <s v="C0281"/>
        <s v="C0282"/>
        <s v="C0283"/>
        <s v="C0284"/>
        <s v="C0285"/>
        <s v="C0286"/>
        <s v="C0287"/>
        <s v="C0288"/>
        <s v="C0289"/>
        <s v="C0290"/>
        <s v="C0291"/>
        <s v="C0292"/>
        <s v="C0293"/>
        <s v="C0294"/>
        <s v="C0295"/>
        <s v="C0296"/>
        <s v="C0297"/>
        <s v="C0298"/>
        <s v="C0299"/>
        <s v="C0300"/>
        <s v="C0301"/>
        <s v="C0302"/>
        <s v="C0303"/>
        <s v="C0304"/>
        <s v="C0305"/>
        <s v="C0306"/>
        <s v="C0307"/>
        <s v="C0308"/>
        <s v="C0309"/>
        <s v="C0310"/>
        <s v="C0311"/>
        <s v="C0312"/>
        <s v="C0313"/>
        <s v="C0314"/>
        <s v="C0315"/>
        <s v="C0316"/>
        <s v="C0317"/>
        <s v="C0318"/>
        <s v="C0319"/>
        <s v="C0320"/>
        <s v="C0321"/>
        <s v="C0322"/>
        <s v="C0323"/>
        <s v="C0324"/>
        <s v="C0325"/>
        <s v="C0326"/>
        <s v="C0327"/>
        <s v="C0328"/>
        <s v="C0329"/>
        <s v="C0330"/>
        <s v="C0331"/>
        <s v="C0332"/>
        <s v="C0333"/>
        <s v="C0334"/>
        <s v="C0335"/>
        <s v="C0336"/>
        <s v="C0337"/>
        <s v="C0338"/>
        <s v="C0339"/>
        <s v="C0340"/>
        <s v="C0341"/>
        <s v="C0342"/>
        <s v="C0343"/>
        <s v="C0344"/>
        <s v="C0345"/>
        <s v="C0346"/>
        <s v="C0347"/>
        <s v="C0348"/>
        <s v="C0349"/>
        <s v="C0350"/>
        <s v="C0351"/>
        <s v="C0352"/>
        <s v="C0353"/>
        <s v="C0354"/>
        <s v="C0355"/>
        <s v="C0356"/>
        <s v="C0357"/>
        <s v="C0358"/>
        <s v="C0359"/>
        <s v="C0360"/>
        <s v="C0361"/>
        <s v="C0362"/>
        <s v="C0363"/>
        <s v="C0364"/>
        <s v="C0365"/>
        <s v="C0366"/>
        <s v="C0367"/>
        <s v="C0368"/>
        <s v="C0369"/>
        <s v="C0370"/>
        <s v="C0371"/>
        <s v="C0372"/>
        <s v="C0373"/>
        <s v="C0374"/>
        <s v="C0375"/>
        <s v="C0376"/>
        <s v="C0377"/>
        <s v="C0378"/>
        <s v="C0379"/>
        <s v="C0380"/>
        <s v="C0381"/>
        <s v="C0382"/>
        <s v="C0383"/>
        <s v="C0384"/>
        <s v="C0385"/>
        <s v="C0386"/>
        <s v="C0387"/>
        <s v="C0388"/>
        <s v="C0389"/>
        <s v="C0390"/>
        <s v="C0391"/>
        <s v="C0392"/>
        <s v="C0393"/>
        <s v="C0394"/>
        <s v="C0395"/>
        <s v="C0396"/>
        <s v="C0397"/>
        <s v="C0398"/>
        <s v="C0399"/>
        <s v="C0400"/>
        <s v="C0401"/>
        <s v="C0402"/>
        <s v="C0403"/>
        <s v="C0404"/>
        <s v="C0405"/>
        <s v="C0406"/>
        <s v="C0407"/>
        <s v="C0408"/>
        <s v="C0409"/>
        <s v="C0410"/>
        <s v="C0411"/>
        <s v="C0412"/>
        <s v="C0413"/>
        <s v="C0414"/>
        <s v="C0415"/>
        <s v="C0416"/>
        <s v="C0417"/>
        <s v="C0418"/>
        <s v="C0419"/>
        <s v="C0420"/>
        <s v="C0421"/>
        <s v="C0422"/>
        <s v="C0423"/>
        <s v="C0424"/>
        <s v="C0425"/>
        <s v="C0426"/>
        <s v="C0427"/>
        <s v="C0428"/>
        <s v="C0429"/>
        <s v="C0430"/>
        <s v="C0431"/>
        <s v="C0432"/>
        <s v="C0433"/>
        <s v="C0434"/>
        <s v="C0435"/>
        <s v="C0436"/>
        <s v="C0437"/>
        <s v="C0438"/>
        <s v="C0439"/>
        <s v="C0440"/>
        <s v="C0441"/>
        <s v="C0442"/>
        <s v="C0443"/>
        <s v="C0444"/>
        <s v="C0445"/>
        <s v="C0446"/>
        <s v="C0447"/>
        <s v="C0448"/>
        <s v="C0449"/>
        <s v="C0450"/>
        <s v="C0451"/>
        <s v="C0452"/>
        <s v="C0453"/>
        <s v="C0454"/>
        <s v="C0455"/>
        <s v="C0456"/>
        <s v="C0457"/>
        <s v="C0458"/>
        <s v="C0459"/>
        <s v="C0460"/>
        <s v="C0461"/>
        <s v="C0462"/>
        <s v="C0463"/>
        <s v="C0464"/>
        <s v="C0465"/>
        <s v="C0466"/>
        <s v="C0467"/>
        <s v="C0468"/>
        <s v="C0469"/>
        <s v="C0470"/>
        <s v="C0471"/>
        <s v="C0472"/>
        <s v="C0473"/>
        <s v="C0474"/>
        <s v="C0475"/>
        <s v="C0476"/>
        <s v="C0477"/>
        <s v="C0478"/>
        <s v="C0479"/>
        <s v="C0480"/>
        <s v="C0481"/>
        <s v="C0482"/>
        <s v="C0483"/>
        <s v="C0484"/>
        <s v="C0485"/>
        <s v="C0486"/>
        <s v="C0487"/>
        <s v="C0488"/>
        <s v="C0489"/>
        <s v="C0490"/>
        <s v="C0491"/>
        <s v="C0492"/>
        <s v="C0493"/>
        <s v="C0494"/>
        <s v="C0495"/>
        <s v="C0496"/>
        <s v="C0497"/>
        <s v="C0498"/>
        <s v="C0499"/>
        <s v="C0500"/>
      </sharedItems>
    </cacheField>
    <cacheField name="Date" numFmtId="0">
      <sharedItems containsSemiMixedTypes="0" containsString="0" containsNonDate="0" containsDate="1" minDate="2024-12-10T00:00:00" maxDate="2025-06-10T00:00:00" count="173"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2T00:00:00"/>
        <d v="2025-01-23T00:00:00"/>
        <d v="2025-01-24T00:00:00"/>
        <d v="2025-01-25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</sharedItems>
    </cacheField>
    <cacheField name="Channel" numFmtId="0">
      <sharedItems count="5">
        <s v="Facebook"/>
        <s v="Google Ads"/>
        <s v="Instagram"/>
        <s v="LinkedIn"/>
        <s v="Twitter"/>
      </sharedItems>
    </cacheField>
    <cacheField name="Region" numFmtId="0">
      <sharedItems count="4">
        <s v="East"/>
        <s v="North"/>
        <s v="South"/>
        <s v="West"/>
      </sharedItems>
    </cacheField>
    <cacheField name="Budget ($)" numFmtId="0">
      <sharedItems containsSemiMixedTypes="0" containsString="0" containsNumber="1" minValue="0" maxValue="9998.02" count="500">
        <n v="3038.65"/>
        <n v="3076.97"/>
        <n v="3079.48"/>
        <n v="3091.66"/>
        <n v="3116.11"/>
        <n v="3128.73"/>
        <n v="3137.97"/>
        <n v="3170.21"/>
        <n v="3170.81"/>
        <n v="3177.46"/>
        <n v="3217.94"/>
        <n v="3240.72"/>
        <n v="3251.6"/>
        <n v="3261.44"/>
        <n v="3275.4"/>
        <n v="3285.43"/>
        <n v="3291.01"/>
        <n v="3318.12"/>
        <n v="3320.19"/>
        <n v="3328.76"/>
        <n v="3361.77"/>
        <n v="3363.8"/>
        <n v="3394.63"/>
        <n v="3399.61"/>
        <n v="3406.59"/>
        <n v="3457.49"/>
        <n v="3485.53"/>
        <n v="3493.98"/>
        <n v="3505.39"/>
        <n v="3561.64"/>
        <n v="3579.59"/>
        <n v="3588.98"/>
        <n v="3597.45"/>
        <n v="3620.92"/>
        <n v="3640.41"/>
        <n v="3655.72"/>
        <n v="3661.1"/>
        <n v="3684.84"/>
        <n v="3696.09"/>
        <n v="3734.51"/>
        <n v="3755.24"/>
        <n v="3770.36"/>
        <n v="3794.9"/>
        <n v="3812.51"/>
        <n v="3818.29"/>
        <n v="3819.47"/>
        <n v="3831.73"/>
        <n v="3837.16"/>
        <n v="3839.06"/>
        <n v="3889.42"/>
        <n v="3896.32"/>
        <n v="3902.09"/>
        <n v="3906.6"/>
        <n v="3920.97"/>
        <n v="3975.49"/>
        <n v="3976.46"/>
        <n v="3977.56"/>
        <n v="3978.41"/>
        <n v="3986.47"/>
        <n v="3997.47"/>
        <n v="4029.51"/>
        <n v="4052.92"/>
        <n v="4057.41"/>
        <n v="4067.77"/>
        <n v="4095.06"/>
        <n v="4125.32"/>
        <n v="4128.55"/>
        <n v="4144.67"/>
        <n v="4145.37"/>
        <n v="4145.59"/>
        <n v="4172.38"/>
        <n v="4173.33"/>
        <n v="4182.55"/>
        <n v="4188.31"/>
        <n v="4206.24"/>
        <n v="4212.41"/>
        <n v="4235.7"/>
        <n v="4242.08"/>
        <n v="4249.81"/>
        <n v="4257.78"/>
        <n v="4266.84"/>
        <n v="4273.5"/>
        <n v="4274.83"/>
        <n v="4283.83"/>
        <n v="4298.68"/>
        <n v="4305.99"/>
        <n v="4334.81"/>
        <n v="4366.7"/>
        <n v="4371.88"/>
        <n v="4440.89"/>
        <n v="4444.34"/>
        <n v="4455.2"/>
        <n v="4465.45"/>
        <n v="4469.34"/>
        <n v="4480.14"/>
        <n v="4490.75"/>
        <n v="4509.73"/>
        <n v="4510.75"/>
        <n v="4534.5"/>
        <n v="4545.39"/>
        <n v="4553.81"/>
        <n v="4565.17"/>
        <n v="4569.89"/>
        <n v="4599.18"/>
        <n v="4601.59"/>
        <n v="4610.06"/>
        <n v="4621.7"/>
        <n v="4625.49"/>
        <n v="4635.25"/>
        <n v="4660.59"/>
        <n v="4681.02"/>
        <n v="4692.97"/>
        <n v="4696.87"/>
        <n v="4707.93"/>
        <n v="4721.7"/>
        <n v="4729.72"/>
        <n v="4730.62"/>
        <n v="4731.44"/>
        <n v="4739.42"/>
        <n v="4745.05"/>
        <n v="4747.68"/>
        <n v="4762.48"/>
        <n v="4782.48"/>
        <n v="4805.32"/>
        <n v="4806.93"/>
        <n v="4807.71"/>
        <n v="4818.63"/>
        <n v="4835.85"/>
        <n v="4882.95"/>
        <n v="4895.83"/>
        <n v="4919.51"/>
        <n v="4941.67"/>
        <n v="4959.85"/>
        <n v="4993.88"/>
        <n v="4995.67"/>
        <n v="5005.79"/>
        <n v="5020.41"/>
        <n v="5041.64"/>
        <n v="5106.74"/>
        <n v="5109.65"/>
        <n v="5132.3"/>
        <n v="5176.88"/>
        <n v="5200.49"/>
        <n v="5232.83"/>
        <n v="5262.42"/>
        <n v="5265.27"/>
        <n v="5265.75"/>
        <n v="5277.8"/>
        <n v="5285.23"/>
        <n v="5300.65"/>
        <n v="5334.49"/>
        <n v="5344.34"/>
        <n v="5346.38"/>
        <n v="5356.23"/>
        <n v="5376.15"/>
        <n v="5387.46"/>
        <n v="5394.57"/>
        <n v="5419.87"/>
        <n v="5442.08"/>
        <n v="5444.47"/>
        <n v="5454.11"/>
        <n v="5454.39"/>
        <n v="5473.47"/>
        <n v="5482.36"/>
        <n v="5491.81"/>
        <n v="5492.68"/>
        <n v="5497.27"/>
        <n v="5509.26"/>
        <n v="5536.76"/>
        <n v="5541.58"/>
        <n v="5545.41"/>
        <n v="5565.23"/>
        <n v="5591.11"/>
        <n v="5597.27"/>
        <n v="5608.82"/>
        <n v="5612.76"/>
        <n v="5613.17"/>
        <n v="5621.78"/>
        <n v="5622.29"/>
        <n v="5624.09"/>
        <n v="5629.08"/>
        <n v="5635.24"/>
        <n v="5640.99"/>
        <n v="5657.85"/>
        <n v="5707.15"/>
        <n v="5717.19"/>
        <n v="5719.91"/>
        <n v="5720.74"/>
        <n v="5725.07"/>
        <n v="5747.45"/>
        <n v="5778.46"/>
        <n v="5805.34"/>
        <n v="5824.38"/>
        <n v="5828.98"/>
        <n v="5848.36"/>
        <n v="5861.14"/>
        <n v="5931.39"/>
        <n v="5938.09"/>
        <n v="5968.91"/>
        <n v="5976.49"/>
        <n v="5997.29"/>
        <n v="6021.62"/>
        <n v="6023.62"/>
        <n v="6043.79"/>
        <n v="6049.08"/>
        <n v="6052.89"/>
        <n v="6062.32"/>
        <n v="6073.94"/>
        <n v="6081.07"/>
        <n v="6090.71"/>
        <n v="6106.25"/>
        <n v="6122.04"/>
        <n v="6166.23"/>
        <n v="6167.08"/>
        <n v="6173.02"/>
        <n v="6176.53"/>
        <n v="6186.54"/>
        <n v="6192.49"/>
        <n v="6238.36"/>
        <n v="6244.46"/>
        <n v="6280.85"/>
        <n v="6332.35"/>
        <n v="6367.98"/>
        <n v="6370.66"/>
        <n v="6412.02"/>
        <n v="6426.17"/>
        <n v="6441.16"/>
        <n v="6448.33"/>
        <n v="6460.94"/>
        <n v="6466.03"/>
        <n v="6471.13"/>
        <n v="6474.56"/>
        <n v="6487.37"/>
        <n v="6488.57"/>
        <n v="6518.46"/>
        <n v="6518.75"/>
        <n v="6536.77"/>
        <n v="6541.22"/>
        <n v="6552.27"/>
        <n v="6575.23"/>
        <n v="6597.93"/>
        <n v="6599.64"/>
        <n v="6603.72"/>
        <n v="6609.17"/>
        <n v="6614.1"/>
        <n v="6659.13"/>
        <n v="6679.83"/>
        <n v="6693.91"/>
        <n v="6724.79"/>
        <n v="6728.32"/>
        <n v="6752.67"/>
        <n v="6758.82"/>
        <n v="6759.75"/>
        <n v="6788.87"/>
        <n v="6791.44"/>
        <n v="6804.87"/>
        <n v="6811.42"/>
        <n v="6819.32"/>
        <n v="6826.97"/>
        <n v="6841.14"/>
        <n v="6856"/>
        <n v="6863.35"/>
        <n v="6876.98"/>
        <n v="6897.61"/>
        <n v="6928.94"/>
        <n v="6953.89"/>
        <n v="6960.12"/>
        <n v="6969.11"/>
        <n v="6975.62"/>
        <n v="6989.23"/>
        <n v="6990.43"/>
        <n v="7035.62"/>
        <n v="7075.19"/>
        <n v="7081.29"/>
        <n v="7083.74"/>
        <n v="7100.43"/>
        <n v="7131.61"/>
        <n v="7138.93"/>
        <n v="7146.45"/>
        <n v="7167.7"/>
        <n v="7169.47"/>
        <n v="7185.3"/>
        <n v="7190.61"/>
        <n v="7224.14"/>
        <n v="7245"/>
        <n v="7252.81"/>
        <n v="7254.16"/>
        <n v="7282.05"/>
        <n v="7293.88"/>
        <n v="7293.91"/>
        <n v="7310.95"/>
        <n v="7318.49"/>
        <n v="7320.01"/>
        <n v="7327.53"/>
        <n v="7327.78"/>
        <n v="7340.51"/>
        <n v="7354.61"/>
        <n v="7360.77"/>
        <n v="7363.09"/>
        <n v="7369.04"/>
        <n v="7383.54"/>
        <n v="7392.54"/>
        <n v="7392.91"/>
        <n v="7395.3"/>
        <n v="7405.79"/>
        <n v="7422.86"/>
        <n v="7428.35"/>
        <n v="7433.83"/>
        <n v="7434.71"/>
        <n v="7462.01"/>
        <n v="7462.9"/>
        <n v="7473.84"/>
        <n v="7486.12"/>
        <n v="7516.21"/>
        <n v="7552.28"/>
        <n v="7558.63"/>
        <n v="7559.94"/>
        <n v="7581.58"/>
        <n v="7611.48"/>
        <n v="7637.66"/>
        <n v="7644.51"/>
        <n v="7646.63"/>
        <n v="7655.26"/>
        <n v="7656.38"/>
        <n v="7676.6"/>
        <n v="7701.9"/>
        <n v="7704.95"/>
        <n v="7757.53"/>
        <n v="7782.74"/>
        <n v="7782.81"/>
        <n v="7783.07"/>
        <n v="7793.12"/>
        <n v="7798.96"/>
        <n v="7826.25"/>
        <n v="7832.76"/>
        <n v="7848.38"/>
        <n v="7857.64"/>
        <n v="7871.82"/>
        <n v="7874.02"/>
        <n v="7876.56"/>
        <n v="7877.16"/>
        <n v="7881.94"/>
        <n v="7882.3"/>
        <n v="7906.78"/>
        <n v="7917.25"/>
        <n v="7917.39"/>
        <n v="7932.77"/>
        <n v="7939.03"/>
        <n v="7943.7"/>
        <n v="7945.33"/>
        <n v="7956.51"/>
        <n v="7993.45"/>
        <n v="8002.17"/>
        <n v="8011.81"/>
        <n v="8033.32"/>
        <n v="8055.77"/>
        <n v="8076.8"/>
        <n v="8097.32"/>
        <n v="8097.51"/>
        <n v="8103.05"/>
        <n v="8121.13"/>
        <n v="8128"/>
        <n v="8145.5"/>
        <n v="8162.51"/>
        <n v="8163.08"/>
        <n v="8187.84"/>
        <n v="8198.95"/>
        <n v="8222.31"/>
        <n v="8232.3"/>
        <n v="8269.02"/>
        <n v="8273.65"/>
        <n v="8281.8"/>
        <n v="8285.96"/>
        <n v="8307.67"/>
        <n v="8307.84"/>
        <n v="8345.24"/>
        <n v="8370.32"/>
        <n v="8377.91"/>
        <n v="8382.91"/>
        <n v="8396.39"/>
        <n v="8396.45"/>
        <n v="8406.23"/>
        <n v="8414.31"/>
        <n v="8425.93"/>
        <n v="8434.89"/>
        <n v="8440.03"/>
        <n v="8457.09"/>
        <n v="8458.92"/>
        <n v="8458.96"/>
        <n v="8504.42"/>
        <n v="8520.18"/>
        <n v="8524.2"/>
        <n v="8535.06"/>
        <n v="8541.05"/>
        <n v="8570.55"/>
        <n v="8581.07"/>
        <n v="8581.98"/>
        <n v="8588.07"/>
        <n v="8591.48"/>
        <n v="8595.91"/>
        <n v="8639.69"/>
        <n v="8643.41"/>
        <n v="8652.08"/>
        <n v="8654.92"/>
        <n v="8665.53"/>
        <n v="8689.6"/>
        <n v="8701.28"/>
        <n v="8710.83"/>
        <n v="8720.56"/>
        <n v="8722.1"/>
        <n v="8726.1"/>
        <n v="8757.76"/>
        <n v="8772.77"/>
        <n v="8802.18"/>
        <n v="8802.41"/>
        <n v="8827.1"/>
        <n v="8847.12"/>
        <n v="8925.17"/>
        <n v="8944.56"/>
        <n v="8957.96"/>
        <n v="8971.07"/>
        <n v="8988.22"/>
        <n v="8989.88"/>
        <n v="8995.43"/>
        <n v="9008.89"/>
        <n v="9034.3"/>
        <n v="9034.89"/>
        <n v="9050.51"/>
        <n v="9062.45"/>
        <n v="9069.22"/>
        <n v="9071.06"/>
        <n v="9082.33"/>
        <n v="9096.78"/>
        <n v="9102.9"/>
        <n v="9104.87"/>
        <n v="9110.62"/>
        <n v="9117.23"/>
        <n v="9122.91"/>
        <n v="9140.4"/>
        <n v="9141.38"/>
        <n v="9141.61"/>
        <n v="9153.83"/>
        <n v="9201.84"/>
        <n v="9209.6"/>
        <n v="9231.85"/>
        <n v="9233.69"/>
        <n v="9244.33"/>
        <n v="9258.69"/>
        <n v="9263.72"/>
        <n v="9268.66"/>
        <n v="9274.35"/>
        <n v="9277.52"/>
        <n v="9302.93"/>
        <n v="9304.91"/>
        <n v="9337.67"/>
        <n v="9344.48"/>
        <n v="9357.86"/>
        <n v="9392.68"/>
        <n v="9421.2"/>
        <n v="9438.99"/>
        <n v="9445.89"/>
        <n v="9445.93"/>
        <n v="9446.11"/>
        <n v="9478.98"/>
        <n v="9505.63"/>
        <n v="9516.64"/>
        <n v="9537.13"/>
        <n v="9560.6"/>
        <n v="9568.38"/>
        <n v="9583.21"/>
        <n v="9630.98"/>
        <n v="9642.2"/>
        <n v="9650.43"/>
        <n v="9678.36"/>
        <n v="9684.06"/>
        <n v="9727.49"/>
        <n v="9728.33"/>
        <n v="9755.19"/>
        <n v="9755.83"/>
        <n v="9782.14"/>
        <n v="9783.72"/>
        <n v="9786.29"/>
        <n v="9789.15"/>
        <n v="9789.38"/>
        <n v="9789.4"/>
        <n v="9797.41"/>
        <n v="9820.76"/>
        <n v="9876.65"/>
        <n v="9893.89"/>
        <n v="9906.48"/>
        <n v="9908.21"/>
        <n v="9913.68"/>
        <n v="9914.06"/>
        <n v="9929.72"/>
        <n v="9930.38"/>
        <n v="9933.54"/>
        <n v="9964.35"/>
        <n v="9979.87"/>
        <n v="9995.9"/>
        <n v="9998.02"/>
      </sharedItems>
    </cacheField>
    <cacheField name="Spend ($)" numFmtId="0">
      <sharedItems containsSemiMixedTypes="0" containsString="0" containsNumber="1" minValue="0" maxValue="10987.73" count="500">
        <n v="2587.93"/>
        <n v="2608.38"/>
        <n v="2740.31"/>
        <n v="2779.27"/>
        <n v="2829.06"/>
        <n v="2836.55"/>
        <n v="2893.8"/>
        <n v="2896.55"/>
        <n v="2934.18"/>
        <n v="2971.61"/>
        <n v="3027.78"/>
        <n v="3039.6"/>
        <n v="3045.21"/>
        <n v="3055.46"/>
        <n v="3088.76"/>
        <n v="3093.03"/>
        <n v="3102.62"/>
        <n v="3150.05"/>
        <n v="3174.29"/>
        <n v="3200.48"/>
        <n v="3203.46"/>
        <n v="3210.75"/>
        <n v="3217.81"/>
        <n v="3219.42"/>
        <n v="3225.3"/>
        <n v="3226.51"/>
        <n v="3237.28"/>
        <n v="3258.78"/>
        <n v="3261.42"/>
        <n v="3274.11"/>
        <n v="3294.61"/>
        <n v="3327.86"/>
        <n v="3361.16"/>
        <n v="3364.32"/>
        <n v="3384.58"/>
        <n v="3409.75"/>
        <n v="3414.01"/>
        <n v="3459.6"/>
        <n v="3460.09"/>
        <n v="3468.56"/>
        <n v="3468.79"/>
        <n v="3476.63"/>
        <n v="3491.33"/>
        <n v="3511.38"/>
        <n v="3513.97"/>
        <n v="3515.38"/>
        <n v="3520.77"/>
        <n v="3524.25"/>
        <n v="3529.68"/>
        <n v="3556.82"/>
        <n v="3583.48"/>
        <n v="3596.33"/>
        <n v="3599.62"/>
        <n v="3607.64"/>
        <n v="3610.48"/>
        <n v="3668.73"/>
        <n v="3679.05"/>
        <n v="3695.61"/>
        <n v="3701.82"/>
        <n v="3709.65"/>
        <n v="3720.9"/>
        <n v="3748.65"/>
        <n v="3766.73"/>
        <n v="3772.18"/>
        <n v="3776.32"/>
        <n v="3787.54"/>
        <n v="3796.26"/>
        <n v="3800.49"/>
        <n v="3802.01"/>
        <n v="3818.06"/>
        <n v="3851.35"/>
        <n v="3854.79"/>
        <n v="3870.62"/>
        <n v="3870.78"/>
        <n v="3885.45"/>
        <n v="3890.78"/>
        <n v="3918.2"/>
        <n v="3919.31"/>
        <n v="3953.82"/>
        <n v="3957.48"/>
        <n v="3958.73"/>
        <n v="3964.73"/>
        <n v="3978.79"/>
        <n v="4003.74"/>
        <n v="4004.97"/>
        <n v="4010.16"/>
        <n v="4024.28"/>
        <n v="4041.15"/>
        <n v="4050.37"/>
        <n v="4068.66"/>
        <n v="4090.61"/>
        <n v="4131.2"/>
        <n v="4131.9"/>
        <n v="4148.56"/>
        <n v="4166.87"/>
        <n v="4176.17"/>
        <n v="4232.06"/>
        <n v="4232.23"/>
        <n v="4256.22"/>
        <n v="4256.37"/>
        <n v="4304.73"/>
        <n v="4312.57"/>
        <n v="4343.72"/>
        <n v="4348.91"/>
        <n v="4380.23"/>
        <n v="4417.84"/>
        <n v="4424.67"/>
        <n v="4432.61"/>
        <n v="4439.78"/>
        <n v="4451.51"/>
        <n v="4454.33"/>
        <n v="4493.37"/>
        <n v="4495.23"/>
        <n v="4498.77"/>
        <n v="4498.81"/>
        <n v="4499.2"/>
        <n v="4500.97"/>
        <n v="4507.13"/>
        <n v="4508.39"/>
        <n v="4520.42"/>
        <n v="4523.65"/>
        <n v="4546.76"/>
        <n v="4559.12"/>
        <n v="4561.4"/>
        <n v="4597.8"/>
        <n v="4598.91"/>
        <n v="4631.17"/>
        <n v="4632.29"/>
        <n v="4646.53"/>
        <n v="4661.97"/>
        <n v="4731.99"/>
        <n v="4733.55"/>
        <n v="4771.42"/>
        <n v="4779.58"/>
        <n v="4792.61"/>
        <n v="4803.77"/>
        <n v="4821.48"/>
        <n v="4849.3"/>
        <n v="4852.84"/>
        <n v="4858.31"/>
        <n v="4861.13"/>
        <n v="4872.89"/>
        <n v="4884.67"/>
        <n v="4891.74"/>
        <n v="4891.91"/>
        <n v="4893.67"/>
        <n v="4904.8"/>
        <n v="4924.13"/>
        <n v="4946.46"/>
        <n v="4948.68"/>
        <n v="4953.84"/>
        <n v="4955.12"/>
        <n v="4970.8"/>
        <n v="4971.32"/>
        <n v="4981.33"/>
        <n v="4984.07"/>
        <n v="5004.47"/>
        <n v="5020.25"/>
        <n v="5028.96"/>
        <n v="5042.29"/>
        <n v="5047.77"/>
        <n v="5049.05"/>
        <n v="5054.04"/>
        <n v="5074.69"/>
        <n v="5075.89"/>
        <n v="5084.47"/>
        <n v="5087.49"/>
        <n v="5112.85"/>
        <n v="5113.62"/>
        <n v="5140.6"/>
        <n v="5170.33"/>
        <n v="5194.27"/>
        <n v="5233.73"/>
        <n v="5235.06"/>
        <n v="5237.65"/>
        <n v="5254.37"/>
        <n v="5277"/>
        <n v="5280.32"/>
        <n v="5281.79"/>
        <n v="5309.96"/>
        <n v="5315.67"/>
        <n v="5320.73"/>
        <n v="5328.53"/>
        <n v="5334.24"/>
        <n v="5337.16"/>
        <n v="5345.17"/>
        <n v="5345.87"/>
        <n v="5377.02"/>
        <n v="5378.62"/>
        <n v="5387.81"/>
        <n v="5393.78"/>
        <n v="5404.19"/>
        <n v="5425.49"/>
        <n v="5426.88"/>
        <n v="5460.9"/>
        <n v="5507.08"/>
        <n v="5512.59"/>
        <n v="5528.22"/>
        <n v="5541.31"/>
        <n v="5546.01"/>
        <n v="5553.46"/>
        <n v="5564.81"/>
        <n v="5596.04"/>
        <n v="5615.11"/>
        <n v="5618.94"/>
        <n v="5642.03"/>
        <n v="5644.76"/>
        <n v="5663.71"/>
        <n v="5677.09"/>
        <n v="5687.9"/>
        <n v="5700.19"/>
        <n v="5707.04"/>
        <n v="5794.63"/>
        <n v="5796.14"/>
        <n v="5806.31"/>
        <n v="5815.99"/>
        <n v="5840.17"/>
        <n v="5871.24"/>
        <n v="5872.08"/>
        <n v="5878.4"/>
        <n v="5878.49"/>
        <n v="5887.96"/>
        <n v="5909.54"/>
        <n v="5932.1"/>
        <n v="5994.66"/>
        <n v="6006.32"/>
        <n v="6019.73"/>
        <n v="6029.18"/>
        <n v="6053.01"/>
        <n v="6083.56"/>
        <n v="6084.32"/>
        <n v="6089.05"/>
        <n v="6093.86"/>
        <n v="6097.63"/>
        <n v="6100.84"/>
        <n v="6105.07"/>
        <n v="6111.84"/>
        <n v="6123.52"/>
        <n v="6125.66"/>
        <n v="6127.22"/>
        <n v="6136.26"/>
        <n v="6169.54"/>
        <n v="6173.28"/>
        <n v="6181.42"/>
        <n v="6197.55"/>
        <n v="6200.6"/>
        <n v="6206.43"/>
        <n v="6206.94"/>
        <n v="6256.6"/>
        <n v="6270.75"/>
        <n v="6288.61"/>
        <n v="6323.41"/>
        <n v="6326.66"/>
        <n v="6338.94"/>
        <n v="6342.93"/>
        <n v="6358.58"/>
        <n v="6394.31"/>
        <n v="6397.37"/>
        <n v="6404"/>
        <n v="6406.14"/>
        <n v="6412.65"/>
        <n v="6414.34"/>
        <n v="6431.55"/>
        <n v="6432.87"/>
        <n v="6452.63"/>
        <n v="6475.33"/>
        <n v="6477.59"/>
        <n v="6493.92"/>
        <n v="6494.25"/>
        <n v="6494.59"/>
        <n v="6498.02"/>
        <n v="6518.85"/>
        <n v="6526.96"/>
        <n v="6537.02"/>
        <n v="6548.82"/>
        <n v="6560.3"/>
        <n v="6565.68"/>
        <n v="6597.87"/>
        <n v="6609.33"/>
        <n v="6613.35"/>
        <n v="6614.68"/>
        <n v="6615.67"/>
        <n v="6621.4"/>
        <n v="6645.65"/>
        <n v="6673.22"/>
        <n v="6676.44"/>
        <n v="6686.79"/>
        <n v="6695.78"/>
        <n v="6707.55"/>
        <n v="6713.96"/>
        <n v="6723.82"/>
        <n v="6742.3"/>
        <n v="6749.86"/>
        <n v="6750.32"/>
        <n v="6800.32"/>
        <n v="6824.35"/>
        <n v="6826.59"/>
        <n v="6829.49"/>
        <n v="6850.12"/>
        <n v="6850.38"/>
        <n v="6867.71"/>
        <n v="6881.66"/>
        <n v="6892.92"/>
        <n v="6919.07"/>
        <n v="6936.91"/>
        <n v="6985.62"/>
        <n v="7008.66"/>
        <n v="7008.67"/>
        <n v="7026.51"/>
        <n v="7026.98"/>
        <n v="7031.65"/>
        <n v="7038.62"/>
        <n v="7041.12"/>
        <n v="7047.17"/>
        <n v="7061.81"/>
        <n v="7102.07"/>
        <n v="7115.21"/>
        <n v="7119.19"/>
        <n v="7139.65"/>
        <n v="7142.72"/>
        <n v="7142.77"/>
        <n v="7145.75"/>
        <n v="7187.78"/>
        <n v="7190.08"/>
        <n v="7203.83"/>
        <n v="7206.1"/>
        <n v="7210.26"/>
        <n v="7227.49"/>
        <n v="7241.7"/>
        <n v="7245.95"/>
        <n v="7250.79"/>
        <n v="7263.22"/>
        <n v="7267.6"/>
        <n v="7283.25"/>
        <n v="7294.42"/>
        <n v="7326.54"/>
        <n v="7349.17"/>
        <n v="7362.19"/>
        <n v="7371.45"/>
        <n v="7372.9"/>
        <n v="7381.5"/>
        <n v="7387.01"/>
        <n v="7392.38"/>
        <n v="7408.09"/>
        <n v="7455.26"/>
        <n v="7455.66"/>
        <n v="7470.4"/>
        <n v="7481.49"/>
        <n v="7496.33"/>
        <n v="7501.35"/>
        <n v="7552.83"/>
        <n v="7555.18"/>
        <n v="7565.47"/>
        <n v="7589.75"/>
        <n v="7595.04"/>
        <n v="7605.74"/>
        <n v="7610.3"/>
        <n v="7623.98"/>
        <n v="7637.38"/>
        <n v="7640.66"/>
        <n v="7644.22"/>
        <n v="7653.98"/>
        <n v="7663.06"/>
        <n v="7669.96"/>
        <n v="7673.21"/>
        <n v="7681.5"/>
        <n v="7683.16"/>
        <n v="7696.77"/>
        <n v="7705.54"/>
        <n v="7725.86"/>
        <n v="7729.97"/>
        <n v="7735.42"/>
        <n v="7752.33"/>
        <n v="7786.39"/>
        <n v="7787.31"/>
        <n v="7788.01"/>
        <n v="7819.12"/>
        <n v="7851.64"/>
        <n v="7872.09"/>
        <n v="7890.55"/>
        <n v="7914.16"/>
        <n v="7923.66"/>
        <n v="7924.43"/>
        <n v="7925.08"/>
        <n v="7929.09"/>
        <n v="7929.79"/>
        <n v="7933.59"/>
        <n v="7956.67"/>
        <n v="7958.07"/>
        <n v="7961.38"/>
        <n v="7969.31"/>
        <n v="7986.64"/>
        <n v="7993.2"/>
        <n v="8009.03"/>
        <n v="8016.84"/>
        <n v="8018.06"/>
        <n v="8019.71"/>
        <n v="8020.49"/>
        <n v="8036.77"/>
        <n v="8045.68"/>
        <n v="8094.01"/>
        <n v="8107.27"/>
        <n v="8140.68"/>
        <n v="8141.3"/>
        <n v="8147.86"/>
        <n v="8158.82"/>
        <n v="8165.91"/>
        <n v="8167.91"/>
        <n v="8170.73"/>
        <n v="8174.94"/>
        <n v="8179.57"/>
        <n v="8184.75"/>
        <n v="8215.83"/>
        <n v="8233.29"/>
        <n v="8252.06"/>
        <n v="8357.33"/>
        <n v="8361.63"/>
        <n v="8366.54"/>
        <n v="8380.83"/>
        <n v="8388.45"/>
        <n v="8428.94"/>
        <n v="8428.95"/>
        <n v="8479.83"/>
        <n v="8481.08"/>
        <n v="8491.31"/>
        <n v="8497.14"/>
        <n v="8525.25"/>
        <n v="8531.94"/>
        <n v="8534.27"/>
        <n v="8541.5"/>
        <n v="8545.04"/>
        <n v="8554.9"/>
        <n v="8560.83"/>
        <n v="8621.15"/>
        <n v="8647.45"/>
        <n v="8668.19"/>
        <n v="8741.17"/>
        <n v="8745.96"/>
        <n v="8820.6"/>
        <n v="8829.82"/>
        <n v="8845.11"/>
        <n v="8854.98"/>
        <n v="8856.09"/>
        <n v="8865.23"/>
        <n v="8903.19"/>
        <n v="8904.04"/>
        <n v="8920.27"/>
        <n v="8927.81"/>
        <n v="8932.8"/>
        <n v="8955.01"/>
        <n v="8973.91"/>
        <n v="9031.27"/>
        <n v="9037.5"/>
        <n v="9038.44"/>
        <n v="9061.59"/>
        <n v="9082.29"/>
        <n v="9087.97"/>
        <n v="9115.59"/>
        <n v="9144.79"/>
        <n v="9145.8"/>
        <n v="9176.46"/>
        <n v="9184.53"/>
        <n v="9192.22"/>
        <n v="9203.54"/>
        <n v="9209.25"/>
        <n v="9226.19"/>
        <n v="9234.13"/>
        <n v="9247.58"/>
        <n v="9259.87"/>
        <n v="9289.8"/>
        <n v="9304.19"/>
        <n v="9344.83"/>
        <n v="9421.04"/>
        <n v="9422.08"/>
        <n v="9430.98"/>
        <n v="9445.3"/>
        <n v="9501.64"/>
        <n v="9502.72"/>
        <n v="9516.41"/>
        <n v="9522.38"/>
        <n v="9581.91"/>
        <n v="9621.46"/>
        <n v="9829.94"/>
        <n v="9891"/>
        <n v="9917.44"/>
        <n v="10021.8"/>
        <n v="10025.67"/>
        <n v="10222.04"/>
        <n v="10304.67"/>
        <n v="10370.06"/>
        <n v="10405.1"/>
        <n v="10409.08"/>
        <n v="10420.99"/>
        <n v="10424.93"/>
        <n v="10472.47"/>
        <n v="10507.01"/>
        <n v="10613.34"/>
        <n v="10738.67"/>
        <n v="10762.21"/>
        <n v="10987.73"/>
      </sharedItems>
    </cacheField>
    <cacheField name="Impressions" numFmtId="0">
      <sharedItems containsSemiMixedTypes="0" containsString="0" containsNumber="1" containsInteger="1" minValue="0" maxValue="199789" count="500">
        <n v="50360"/>
        <n v="50483"/>
        <n v="50640"/>
        <n v="51577"/>
        <n v="52359"/>
        <n v="52499"/>
        <n v="52910"/>
        <n v="53089"/>
        <n v="53244"/>
        <n v="53378"/>
        <n v="53430"/>
        <n v="53472"/>
        <n v="53730"/>
        <n v="53911"/>
        <n v="54030"/>
        <n v="54315"/>
        <n v="54764"/>
        <n v="54766"/>
        <n v="54909"/>
        <n v="55244"/>
        <n v="55522"/>
        <n v="55760"/>
        <n v="55771"/>
        <n v="55825"/>
        <n v="55887"/>
        <n v="56338"/>
        <n v="56417"/>
        <n v="57427"/>
        <n v="57737"/>
        <n v="58155"/>
        <n v="58780"/>
        <n v="59223"/>
        <n v="59367"/>
        <n v="59862"/>
        <n v="61124"/>
        <n v="61208"/>
        <n v="61724"/>
        <n v="61798"/>
        <n v="62770"/>
        <n v="63381"/>
        <n v="63940"/>
        <n v="64146"/>
        <n v="64153"/>
        <n v="64306"/>
        <n v="64473"/>
        <n v="65167"/>
        <n v="65231"/>
        <n v="65526"/>
        <n v="65706"/>
        <n v="65823"/>
        <n v="65860"/>
        <n v="65992"/>
        <n v="66013"/>
        <n v="66208"/>
        <n v="66585"/>
        <n v="67097"/>
        <n v="67169"/>
        <n v="67946"/>
        <n v="68519"/>
        <n v="68618"/>
        <n v="68639"/>
        <n v="68829"/>
        <n v="68836"/>
        <n v="69001"/>
        <n v="69189"/>
        <n v="69520"/>
        <n v="69711"/>
        <n v="69731"/>
        <n v="69783"/>
        <n v="69967"/>
        <n v="70430"/>
        <n v="70461"/>
        <n v="70597"/>
        <n v="70716"/>
        <n v="70743"/>
        <n v="70782"/>
        <n v="71137"/>
        <n v="71769"/>
        <n v="72102"/>
        <n v="72317"/>
        <n v="72336"/>
        <n v="72374"/>
        <n v="72528"/>
        <n v="72755"/>
        <n v="73610"/>
        <n v="73683"/>
        <n v="73811"/>
        <n v="74195"/>
        <n v="74611"/>
        <n v="74753"/>
        <n v="74923"/>
        <n v="75023"/>
        <n v="75127"/>
        <n v="75206"/>
        <n v="75315"/>
        <n v="75522"/>
        <n v="76227"/>
        <n v="76424"/>
        <n v="76429"/>
        <n v="76558"/>
        <n v="76927"/>
        <n v="77061"/>
        <n v="77085"/>
        <n v="77279"/>
        <n v="77537"/>
        <n v="77672"/>
        <n v="78277"/>
        <n v="78740"/>
        <n v="78896"/>
        <n v="79647"/>
        <n v="80391"/>
        <n v="80479"/>
        <n v="80643"/>
        <n v="81087"/>
        <n v="81389"/>
        <n v="81620"/>
        <n v="81757"/>
        <n v="82264"/>
        <n v="83109"/>
        <n v="83163"/>
        <n v="83386"/>
        <n v="83532"/>
        <n v="84061"/>
        <n v="84687"/>
        <n v="84930"/>
        <n v="85109"/>
        <n v="85169"/>
        <n v="85573"/>
        <n v="86387"/>
        <n v="86473"/>
        <n v="86560"/>
        <n v="86944"/>
        <n v="87162"/>
        <n v="87263"/>
        <n v="88706"/>
        <n v="89044"/>
        <n v="89656"/>
        <n v="91032"/>
        <n v="91252"/>
        <n v="91921"/>
        <n v="92070"/>
        <n v="92367"/>
        <n v="92405"/>
        <n v="92675"/>
        <n v="93893"/>
        <n v="93966"/>
        <n v="94803"/>
        <n v="94836"/>
        <n v="94851"/>
        <n v="95395"/>
        <n v="95400"/>
        <n v="95888"/>
        <n v="96330"/>
        <n v="96745"/>
        <n v="97411"/>
        <n v="97675"/>
        <n v="98472"/>
        <n v="99153"/>
        <n v="99224"/>
        <n v="99291"/>
        <n v="99410"/>
        <n v="99483"/>
        <n v="99708"/>
        <n v="100064"/>
        <n v="100148"/>
        <n v="102196"/>
        <n v="102654"/>
        <n v="102718"/>
        <n v="102748"/>
        <n v="103318"/>
        <n v="103488"/>
        <n v="103534"/>
        <n v="103661"/>
        <n v="103713"/>
        <n v="103912"/>
        <n v="103994"/>
        <n v="105156"/>
        <n v="105961"/>
        <n v="106358"/>
        <n v="106540"/>
        <n v="106946"/>
        <n v="107520"/>
        <n v="107709"/>
        <n v="107940"/>
        <n v="108436"/>
        <n v="108943"/>
        <n v="109146"/>
        <n v="109858"/>
        <n v="109928"/>
        <n v="109943"/>
        <n v="110033"/>
        <n v="110667"/>
        <n v="110834"/>
        <n v="111235"/>
        <n v="111392"/>
        <n v="111462"/>
        <n v="111502"/>
        <n v="111608"/>
        <n v="111631"/>
        <n v="111688"/>
        <n v="112356"/>
        <n v="112474"/>
        <n v="112643"/>
        <n v="113210"/>
        <n v="113245"/>
        <n v="113319"/>
        <n v="113689"/>
        <n v="113908"/>
        <n v="113951"/>
        <n v="114026"/>
        <n v="114426"/>
        <n v="114793"/>
        <n v="114833"/>
        <n v="114949"/>
        <n v="115212"/>
        <n v="115218"/>
        <n v="115280"/>
        <n v="115362"/>
        <n v="115700"/>
        <n v="115837"/>
        <n v="115973"/>
        <n v="116079"/>
        <n v="116506"/>
        <n v="116892"/>
        <n v="117094"/>
        <n v="117252"/>
        <n v="117796"/>
        <n v="118097"/>
        <n v="118229"/>
        <n v="118663"/>
        <n v="118998"/>
        <n v="119094"/>
        <n v="119124"/>
        <n v="119284"/>
        <n v="120570"/>
        <n v="120702"/>
        <n v="120704"/>
        <n v="120822"/>
        <n v="121100"/>
        <n v="121420"/>
        <n v="121778"/>
        <n v="122395"/>
        <n v="122735"/>
        <n v="123058"/>
        <n v="123947"/>
        <n v="124319"/>
        <n v="124323"/>
        <n v="124998"/>
        <n v="125026"/>
        <n v="125145"/>
        <n v="126153"/>
        <n v="126413"/>
        <n v="126890"/>
        <n v="127332"/>
        <n v="127536"/>
        <n v="127588"/>
        <n v="127713"/>
        <n v="127750"/>
        <n v="127949"/>
        <n v="127993"/>
        <n v="128069"/>
        <n v="128160"/>
        <n v="128263"/>
        <n v="128670"/>
        <n v="129278"/>
        <n v="129730"/>
        <n v="129840"/>
        <n v="130274"/>
        <n v="130404"/>
        <n v="130452"/>
        <n v="130681"/>
        <n v="130705"/>
        <n v="131046"/>
        <n v="131078"/>
        <n v="132053"/>
        <n v="133159"/>
        <n v="133310"/>
        <n v="133482"/>
        <n v="133842"/>
        <n v="133918"/>
        <n v="134164"/>
        <n v="134423"/>
        <n v="134522"/>
        <n v="134667"/>
        <n v="134800"/>
        <n v="134861"/>
        <n v="134964"/>
        <n v="135367"/>
        <n v="135649"/>
        <n v="136337"/>
        <n v="136413"/>
        <n v="136646"/>
        <n v="136864"/>
        <n v="137121"/>
        <n v="137418"/>
        <n v="137986"/>
        <n v="138224"/>
        <n v="138325"/>
        <n v="138384"/>
        <n v="138622"/>
        <n v="138676"/>
        <n v="138708"/>
        <n v="139183"/>
        <n v="139628"/>
        <n v="139883"/>
        <n v="140338"/>
        <n v="140986"/>
        <n v="141042"/>
        <n v="141253"/>
        <n v="141755"/>
        <n v="141976"/>
        <n v="142353"/>
        <n v="142706"/>
        <n v="142900"/>
        <n v="143568"/>
        <n v="143614"/>
        <n v="143676"/>
        <n v="144942"/>
        <n v="144975"/>
        <n v="145244"/>
        <n v="145652"/>
        <n v="145695"/>
        <n v="145792"/>
        <n v="145812"/>
        <n v="146101"/>
        <n v="146175"/>
        <n v="146743"/>
        <n v="146830"/>
        <n v="147591"/>
        <n v="147771"/>
        <n v="147883"/>
        <n v="148308"/>
        <n v="148415"/>
        <n v="148880"/>
        <n v="149220"/>
        <n v="149385"/>
        <n v="149623"/>
        <n v="149688"/>
        <n v="149827"/>
        <n v="149870"/>
        <n v="149919"/>
        <n v="149998"/>
        <n v="150368"/>
        <n v="150378"/>
        <n v="150531"/>
        <n v="151629"/>
        <n v="151737"/>
        <n v="152621"/>
        <n v="152642"/>
        <n v="152738"/>
        <n v="154219"/>
        <n v="154277"/>
        <n v="154555"/>
        <n v="154562"/>
        <n v="154581"/>
        <n v="154773"/>
        <n v="155035"/>
        <n v="155287"/>
        <n v="155333"/>
        <n v="155967"/>
        <n v="156215"/>
        <n v="156463"/>
        <n v="156872"/>
        <n v="156949"/>
        <n v="157129"/>
        <n v="157185"/>
        <n v="158182"/>
        <n v="158254"/>
        <n v="158340"/>
        <n v="158533"/>
        <n v="158601"/>
        <n v="158774"/>
        <n v="158786"/>
        <n v="159631"/>
        <n v="160215"/>
        <n v="160805"/>
        <n v="161295"/>
        <n v="161384"/>
        <n v="161797"/>
        <n v="162097"/>
        <n v="162389"/>
        <n v="163071"/>
        <n v="163376"/>
        <n v="163874"/>
        <n v="163943"/>
        <n v="164936"/>
        <n v="165044"/>
        <n v="165271"/>
        <n v="165901"/>
        <n v="165946"/>
        <n v="166037"/>
        <n v="166397"/>
        <n v="166799"/>
        <n v="167161"/>
        <n v="167465"/>
        <n v="168167"/>
        <n v="168213"/>
        <n v="168488"/>
        <n v="169372"/>
        <n v="169629"/>
        <n v="169951"/>
        <n v="170434"/>
        <n v="170452"/>
        <n v="170519"/>
        <n v="171015"/>
        <n v="171377"/>
        <n v="171690"/>
        <n v="171861"/>
        <n v="172320"/>
        <n v="172776"/>
        <n v="173144"/>
        <n v="173181"/>
        <n v="173652"/>
        <n v="174584"/>
        <n v="174799"/>
        <n v="174898"/>
        <n v="175219"/>
        <n v="175493"/>
        <n v="175747"/>
        <n v="175761"/>
        <n v="175888"/>
        <n v="176077"/>
        <n v="176532"/>
        <n v="176820"/>
        <n v="177209"/>
        <n v="177534"/>
        <n v="177951"/>
        <n v="178492"/>
        <n v="178702"/>
        <n v="178747"/>
        <n v="179651"/>
        <n v="179667"/>
        <n v="179928"/>
        <n v="179996"/>
        <n v="180247"/>
        <n v="180485"/>
        <n v="180765"/>
        <n v="180933"/>
        <n v="181245"/>
        <n v="181387"/>
        <n v="183098"/>
        <n v="184625"/>
        <n v="184680"/>
        <n v="184724"/>
        <n v="185576"/>
        <n v="185980"/>
        <n v="186208"/>
        <n v="186219"/>
        <n v="186329"/>
        <n v="186370"/>
        <n v="187179"/>
        <n v="187533"/>
        <n v="187598"/>
        <n v="187830"/>
        <n v="188008"/>
        <n v="188031"/>
        <n v="188259"/>
        <n v="188606"/>
        <n v="188839"/>
        <n v="189630"/>
        <n v="190122"/>
        <n v="190925"/>
        <n v="191026"/>
        <n v="191309"/>
        <n v="191329"/>
        <n v="191486"/>
        <n v="191774"/>
        <n v="191829"/>
        <n v="191906"/>
        <n v="192117"/>
        <n v="192331"/>
        <n v="192599"/>
        <n v="192983"/>
        <n v="193477"/>
        <n v="194023"/>
        <n v="194426"/>
        <n v="194762"/>
        <n v="194804"/>
        <n v="194871"/>
        <n v="194986"/>
        <n v="195024"/>
        <n v="195298"/>
        <n v="195477"/>
        <n v="195593"/>
        <n v="195662"/>
        <n v="195707"/>
        <n v="196304"/>
        <n v="196435"/>
        <n v="196954"/>
        <n v="197025"/>
        <n v="197123"/>
        <n v="197165"/>
        <n v="197176"/>
        <n v="197509"/>
        <n v="197753"/>
        <n v="197974"/>
        <n v="198199"/>
        <n v="198805"/>
        <n v="199475"/>
        <n v="199789"/>
      </sharedItems>
    </cacheField>
    <cacheField name="Clicks" numFmtId="0">
      <sharedItems containsSemiMixedTypes="0" containsString="0" containsNumber="1" containsInteger="1" minValue="0" maxValue="9701" count="482">
        <n v="1009"/>
        <n v="1044"/>
        <n v="1049"/>
        <n v="1060"/>
        <n v="1074"/>
        <n v="1081"/>
        <n v="1090"/>
        <n v="1092"/>
        <n v="1109"/>
        <n v="1111"/>
        <n v="1117"/>
        <n v="1120"/>
        <n v="1121"/>
        <n v="1126"/>
        <n v="1135"/>
        <n v="1141"/>
        <n v="1150"/>
        <n v="1156"/>
        <n v="1170"/>
        <n v="1173"/>
        <n v="1190"/>
        <n v="1196"/>
        <n v="1207"/>
        <n v="1210"/>
        <n v="1230"/>
        <n v="1245"/>
        <n v="1251"/>
        <n v="1254"/>
        <n v="1255"/>
        <n v="1270"/>
        <n v="1277"/>
        <n v="1282"/>
        <n v="1286"/>
        <n v="1292"/>
        <n v="1293"/>
        <n v="1306"/>
        <n v="1323"/>
        <n v="1336"/>
        <n v="1340"/>
        <n v="1344"/>
        <n v="1348"/>
        <n v="1370"/>
        <n v="1371"/>
        <n v="1389"/>
        <n v="1390"/>
        <n v="1392"/>
        <n v="1394"/>
        <n v="1398"/>
        <n v="1409"/>
        <n v="1422"/>
        <n v="1424"/>
        <n v="1429"/>
        <n v="1434"/>
        <n v="1438"/>
        <n v="1453"/>
        <n v="1463"/>
        <n v="1491"/>
        <n v="1495"/>
        <n v="1499"/>
        <n v="1504"/>
        <n v="1516"/>
        <n v="1523"/>
        <n v="1524"/>
        <n v="1528"/>
        <n v="1530"/>
        <n v="1539"/>
        <n v="1577"/>
        <n v="1590"/>
        <n v="1602"/>
        <n v="1609"/>
        <n v="1610"/>
        <n v="1613"/>
        <n v="1614"/>
        <n v="1655"/>
        <n v="1689"/>
        <n v="1695"/>
        <n v="1698"/>
        <n v="1712"/>
        <n v="1714"/>
        <n v="1738"/>
        <n v="1758"/>
        <n v="1762"/>
        <n v="1770"/>
        <n v="1772"/>
        <n v="1773"/>
        <n v="1775"/>
        <n v="1779"/>
        <n v="1812"/>
        <n v="1826"/>
        <n v="1830"/>
        <n v="1838"/>
        <n v="1869"/>
        <n v="1887"/>
        <n v="1892"/>
        <n v="1900"/>
        <n v="1915"/>
        <n v="1929"/>
        <n v="1932"/>
        <n v="1938"/>
        <n v="1945"/>
        <n v="1946"/>
        <n v="1961"/>
        <n v="1964"/>
        <n v="1992"/>
        <n v="1998"/>
        <n v="1999"/>
        <n v="2004"/>
        <n v="2013"/>
        <n v="2015"/>
        <n v="2018"/>
        <n v="2026"/>
        <n v="2028"/>
        <n v="2029"/>
        <n v="2036"/>
        <n v="2054"/>
        <n v="2059"/>
        <n v="2066"/>
        <n v="2073"/>
        <n v="2084"/>
        <n v="2086"/>
        <n v="2090"/>
        <n v="2101"/>
        <n v="2107"/>
        <n v="2108"/>
        <n v="2121"/>
        <n v="2126"/>
        <n v="2127"/>
        <n v="2137"/>
        <n v="2170"/>
        <n v="2182"/>
        <n v="2185"/>
        <n v="2193"/>
        <n v="2202"/>
        <n v="2206"/>
        <n v="2228"/>
        <n v="2231"/>
        <n v="2245"/>
        <n v="2247"/>
        <n v="2251"/>
        <n v="2257"/>
        <n v="2259"/>
        <n v="2273"/>
        <n v="2282"/>
        <n v="2283"/>
        <n v="2287"/>
        <n v="2317"/>
        <n v="2331"/>
        <n v="2333"/>
        <n v="2346"/>
        <n v="2350"/>
        <n v="2351"/>
        <n v="2381"/>
        <n v="2383"/>
        <n v="2389"/>
        <n v="2397"/>
        <n v="2400"/>
        <n v="2401"/>
        <n v="2402"/>
        <n v="2423"/>
        <n v="2426"/>
        <n v="2435"/>
        <n v="2436"/>
        <n v="2448"/>
        <n v="2459"/>
        <n v="2467"/>
        <n v="2469"/>
        <n v="2474"/>
        <n v="2478"/>
        <n v="2481"/>
        <n v="2483"/>
        <n v="2501"/>
        <n v="2504"/>
        <n v="2505"/>
        <n v="2526"/>
        <n v="2540"/>
        <n v="2548"/>
        <n v="2560"/>
        <n v="2582"/>
        <n v="2586"/>
        <n v="2588"/>
        <n v="2592"/>
        <n v="2600"/>
        <n v="2601"/>
        <n v="2619"/>
        <n v="2627"/>
        <n v="2628"/>
        <n v="2637"/>
        <n v="2638"/>
        <n v="2639"/>
        <n v="2665"/>
        <n v="2680"/>
        <n v="2681"/>
        <n v="2706"/>
        <n v="2713"/>
        <n v="2723"/>
        <n v="2729"/>
        <n v="2741"/>
        <n v="2743"/>
        <n v="2744"/>
        <n v="2750"/>
        <n v="2754"/>
        <n v="2785"/>
        <n v="2806"/>
        <n v="2816"/>
        <n v="2837"/>
        <n v="2848"/>
        <n v="2861"/>
        <n v="2872"/>
        <n v="2886"/>
        <n v="2912"/>
        <n v="2915"/>
        <n v="2918"/>
        <n v="2922"/>
        <n v="2927"/>
        <n v="2934"/>
        <n v="2941"/>
        <n v="2956"/>
        <n v="2962"/>
        <n v="2973"/>
        <n v="2984"/>
        <n v="3012"/>
        <n v="3017"/>
        <n v="3028"/>
        <n v="3036"/>
        <n v="3037"/>
        <n v="3042"/>
        <n v="3053"/>
        <n v="3059"/>
        <n v="3060"/>
        <n v="3074"/>
        <n v="3086"/>
        <n v="3118"/>
        <n v="3124"/>
        <n v="3132"/>
        <n v="3140"/>
        <n v="3157"/>
        <n v="3158"/>
        <n v="3169"/>
        <n v="3184"/>
        <n v="3190"/>
        <n v="3192"/>
        <n v="3193"/>
        <n v="3197"/>
        <n v="3235"/>
        <n v="3243"/>
        <n v="3264"/>
        <n v="3290"/>
        <n v="3308"/>
        <n v="3322"/>
        <n v="3326"/>
        <n v="3336"/>
        <n v="3343"/>
        <n v="3348"/>
        <n v="3364"/>
        <n v="3380"/>
        <n v="3397"/>
        <n v="3399"/>
        <n v="3406"/>
        <n v="3409"/>
        <n v="3434"/>
        <n v="3452"/>
        <n v="3456"/>
        <n v="3470"/>
        <n v="3473"/>
        <n v="3490"/>
        <n v="3527"/>
        <n v="3537"/>
        <n v="3545"/>
        <n v="3560"/>
        <n v="3562"/>
        <n v="3585"/>
        <n v="3586"/>
        <n v="3598"/>
        <n v="3604"/>
        <n v="3625"/>
        <n v="3629"/>
        <n v="3662"/>
        <n v="3682"/>
        <n v="3686"/>
        <n v="3693"/>
        <n v="3696"/>
        <n v="3701"/>
        <n v="3707"/>
        <n v="3716"/>
        <n v="3752"/>
        <n v="3787"/>
        <n v="3804"/>
        <n v="3812"/>
        <n v="3813"/>
        <n v="3830"/>
        <n v="3883"/>
        <n v="3895"/>
        <n v="3898"/>
        <n v="3924"/>
        <n v="3940"/>
        <n v="3954"/>
        <n v="3956"/>
        <n v="3984"/>
        <n v="3999"/>
        <n v="4002"/>
        <n v="4027"/>
        <n v="4028"/>
        <n v="4048"/>
        <n v="4062"/>
        <n v="4068"/>
        <n v="4099"/>
        <n v="4101"/>
        <n v="4106"/>
        <n v="4129"/>
        <n v="4150"/>
        <n v="4154"/>
        <n v="4194"/>
        <n v="4226"/>
        <n v="4253"/>
        <n v="4255"/>
        <n v="4258"/>
        <n v="4278"/>
        <n v="4290"/>
        <n v="4309"/>
        <n v="4331"/>
        <n v="4343"/>
        <n v="4357"/>
        <n v="4360"/>
        <n v="4361"/>
        <n v="4365"/>
        <n v="4375"/>
        <n v="4396"/>
        <n v="4402"/>
        <n v="4443"/>
        <n v="4445"/>
        <n v="4465"/>
        <n v="4467"/>
        <n v="4476"/>
        <n v="4479"/>
        <n v="4500"/>
        <n v="4515"/>
        <n v="4550"/>
        <n v="4580"/>
        <n v="4587"/>
        <n v="4588"/>
        <n v="4601"/>
        <n v="4618"/>
        <n v="4636"/>
        <n v="4639"/>
        <n v="4644"/>
        <n v="4651"/>
        <n v="4673"/>
        <n v="4677"/>
        <n v="4679"/>
        <n v="4683"/>
        <n v="4726"/>
        <n v="4739"/>
        <n v="4745"/>
        <n v="4755"/>
        <n v="4757"/>
        <n v="4771"/>
        <n v="4773"/>
        <n v="4783"/>
        <n v="4786"/>
        <n v="4787"/>
        <n v="4795"/>
        <n v="4802"/>
        <n v="4803"/>
        <n v="4808"/>
        <n v="4818"/>
        <n v="4843"/>
        <n v="4858"/>
        <n v="4867"/>
        <n v="4881"/>
        <n v="4894"/>
        <n v="4911"/>
        <n v="4917"/>
        <n v="5035"/>
        <n v="5038"/>
        <n v="5041"/>
        <n v="5069"/>
        <n v="5082"/>
        <n v="5087"/>
        <n v="5099"/>
        <n v="5136"/>
        <n v="5146"/>
        <n v="5168"/>
        <n v="5182"/>
        <n v="5187"/>
        <n v="5189"/>
        <n v="5246"/>
        <n v="5263"/>
        <n v="5270"/>
        <n v="5296"/>
        <n v="5305"/>
        <n v="5327"/>
        <n v="5339"/>
        <n v="5345"/>
        <n v="5511"/>
        <n v="5522"/>
        <n v="5531"/>
        <n v="5551"/>
        <n v="5567"/>
        <n v="5659"/>
        <n v="5679"/>
        <n v="5682"/>
        <n v="5688"/>
        <n v="5797"/>
        <n v="5806"/>
        <n v="5829"/>
        <n v="5836"/>
        <n v="5839"/>
        <n v="5850"/>
        <n v="5858"/>
        <n v="5881"/>
        <n v="5922"/>
        <n v="5933"/>
        <n v="5935"/>
        <n v="5991"/>
        <n v="5993"/>
        <n v="5998"/>
        <n v="6009"/>
        <n v="6040"/>
        <n v="6045"/>
        <n v="6053"/>
        <n v="6076"/>
        <n v="6093"/>
        <n v="6117"/>
        <n v="6144"/>
        <n v="6156"/>
        <n v="6177"/>
        <n v="6294"/>
        <n v="6315"/>
        <n v="6324"/>
        <n v="6365"/>
        <n v="6373"/>
        <n v="6398"/>
        <n v="6420"/>
        <n v="6524"/>
        <n v="6593"/>
        <n v="6718"/>
        <n v="6778"/>
        <n v="6783"/>
        <n v="6823"/>
        <n v="6884"/>
        <n v="6944"/>
        <n v="7011"/>
        <n v="7015"/>
        <n v="7103"/>
        <n v="7116"/>
        <n v="7131"/>
        <n v="7134"/>
        <n v="7152"/>
        <n v="7199"/>
        <n v="7200"/>
        <n v="7368"/>
        <n v="7387"/>
        <n v="7514"/>
        <n v="7537"/>
        <n v="7548"/>
        <n v="7567"/>
        <n v="7602"/>
        <n v="7649"/>
        <n v="7700"/>
        <n v="7746"/>
        <n v="7836"/>
        <n v="7877"/>
        <n v="7907"/>
        <n v="7934"/>
        <n v="7965"/>
        <n v="8105"/>
        <n v="8158"/>
        <n v="8283"/>
        <n v="8448"/>
        <n v="8454"/>
        <n v="8565"/>
        <n v="8585"/>
        <n v="8592"/>
        <n v="8710"/>
        <n v="8786"/>
        <n v="8803"/>
        <n v="8814"/>
        <n v="9052"/>
        <n v="9073"/>
        <n v="9171"/>
        <n v="9269"/>
        <n v="9701"/>
      </sharedItems>
    </cacheField>
    <cacheField name="Conversions" numFmtId="0">
      <sharedItems containsSemiMixedTypes="0" containsString="0" containsNumber="1" containsInteger="1" minValue="0" maxValue="1490" count="351">
        <n v="50"/>
        <n v="52"/>
        <n v="54"/>
        <n v="56"/>
        <n v="58"/>
        <n v="60"/>
        <n v="62"/>
        <n v="63"/>
        <n v="64"/>
        <n v="66"/>
        <n v="67"/>
        <n v="68"/>
        <n v="69"/>
        <n v="70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90"/>
        <n v="91"/>
        <n v="92"/>
        <n v="94"/>
        <n v="97"/>
        <n v="98"/>
        <n v="100"/>
        <n v="101"/>
        <n v="102"/>
        <n v="104"/>
        <n v="105"/>
        <n v="106"/>
        <n v="107"/>
        <n v="108"/>
        <n v="110"/>
        <n v="111"/>
        <n v="112"/>
        <n v="114"/>
        <n v="117"/>
        <n v="118"/>
        <n v="119"/>
        <n v="122"/>
        <n v="124"/>
        <n v="127"/>
        <n v="128"/>
        <n v="129"/>
        <n v="131"/>
        <n v="132"/>
        <n v="133"/>
        <n v="134"/>
        <n v="135"/>
        <n v="137"/>
        <n v="139"/>
        <n v="140"/>
        <n v="144"/>
        <n v="146"/>
        <n v="147"/>
        <n v="148"/>
        <n v="149"/>
        <n v="150"/>
        <n v="151"/>
        <n v="152"/>
        <n v="153"/>
        <n v="154"/>
        <n v="156"/>
        <n v="157"/>
        <n v="159"/>
        <n v="160"/>
        <n v="162"/>
        <n v="163"/>
        <n v="165"/>
        <n v="166"/>
        <n v="170"/>
        <n v="171"/>
        <n v="177"/>
        <n v="179"/>
        <n v="180"/>
        <n v="181"/>
        <n v="182"/>
        <n v="184"/>
        <n v="185"/>
        <n v="186"/>
        <n v="189"/>
        <n v="191"/>
        <n v="192"/>
        <n v="193"/>
        <n v="194"/>
        <n v="196"/>
        <n v="197"/>
        <n v="199"/>
        <n v="202"/>
        <n v="204"/>
        <n v="205"/>
        <n v="206"/>
        <n v="208"/>
        <n v="209"/>
        <n v="210"/>
        <n v="211"/>
        <n v="212"/>
        <n v="213"/>
        <n v="214"/>
        <n v="217"/>
        <n v="219"/>
        <n v="221"/>
        <n v="222"/>
        <n v="224"/>
        <n v="225"/>
        <n v="226"/>
        <n v="227"/>
        <n v="230"/>
        <n v="231"/>
        <n v="232"/>
        <n v="233"/>
        <n v="234"/>
        <n v="235"/>
        <n v="236"/>
        <n v="240"/>
        <n v="241"/>
        <n v="244"/>
        <n v="249"/>
        <n v="250"/>
        <n v="252"/>
        <n v="253"/>
        <n v="256"/>
        <n v="258"/>
        <n v="261"/>
        <n v="262"/>
        <n v="264"/>
        <n v="266"/>
        <n v="268"/>
        <n v="269"/>
        <n v="270"/>
        <n v="271"/>
        <n v="272"/>
        <n v="273"/>
        <n v="274"/>
        <n v="275"/>
        <n v="277"/>
        <n v="278"/>
        <n v="279"/>
        <n v="280"/>
        <n v="281"/>
        <n v="282"/>
        <n v="283"/>
        <n v="285"/>
        <n v="286"/>
        <n v="288"/>
        <n v="292"/>
        <n v="293"/>
        <n v="294"/>
        <n v="300"/>
        <n v="302"/>
        <n v="303"/>
        <n v="304"/>
        <n v="305"/>
        <n v="308"/>
        <n v="311"/>
        <n v="312"/>
        <n v="314"/>
        <n v="315"/>
        <n v="316"/>
        <n v="320"/>
        <n v="321"/>
        <n v="323"/>
        <n v="324"/>
        <n v="329"/>
        <n v="330"/>
        <n v="332"/>
        <n v="337"/>
        <n v="339"/>
        <n v="340"/>
        <n v="342"/>
        <n v="343"/>
        <n v="345"/>
        <n v="346"/>
        <n v="347"/>
        <n v="349"/>
        <n v="352"/>
        <n v="353"/>
        <n v="354"/>
        <n v="356"/>
        <n v="357"/>
        <n v="362"/>
        <n v="363"/>
        <n v="364"/>
        <n v="366"/>
        <n v="369"/>
        <n v="370"/>
        <n v="371"/>
        <n v="376"/>
        <n v="377"/>
        <n v="381"/>
        <n v="382"/>
        <n v="385"/>
        <n v="387"/>
        <n v="389"/>
        <n v="390"/>
        <n v="391"/>
        <n v="392"/>
        <n v="393"/>
        <n v="394"/>
        <n v="396"/>
        <n v="397"/>
        <n v="398"/>
        <n v="400"/>
        <n v="402"/>
        <n v="403"/>
        <n v="407"/>
        <n v="409"/>
        <n v="410"/>
        <n v="416"/>
        <n v="420"/>
        <n v="421"/>
        <n v="423"/>
        <n v="425"/>
        <n v="426"/>
        <n v="427"/>
        <n v="431"/>
        <n v="434"/>
        <n v="447"/>
        <n v="448"/>
        <n v="453"/>
        <n v="454"/>
        <n v="455"/>
        <n v="459"/>
        <n v="460"/>
        <n v="461"/>
        <n v="463"/>
        <n v="466"/>
        <n v="468"/>
        <n v="470"/>
        <n v="475"/>
        <n v="476"/>
        <n v="478"/>
        <n v="480"/>
        <n v="491"/>
        <n v="494"/>
        <n v="495"/>
        <n v="500"/>
        <n v="503"/>
        <n v="504"/>
        <n v="506"/>
        <n v="512"/>
        <n v="513"/>
        <n v="514"/>
        <n v="526"/>
        <n v="531"/>
        <n v="533"/>
        <n v="536"/>
        <n v="540"/>
        <n v="543"/>
        <n v="550"/>
        <n v="554"/>
        <n v="555"/>
        <n v="556"/>
        <n v="558"/>
        <n v="579"/>
        <n v="582"/>
        <n v="583"/>
        <n v="591"/>
        <n v="599"/>
        <n v="609"/>
        <n v="610"/>
        <n v="611"/>
        <n v="614"/>
        <n v="615"/>
        <n v="619"/>
        <n v="620"/>
        <n v="622"/>
        <n v="623"/>
        <n v="629"/>
        <n v="632"/>
        <n v="633"/>
        <n v="635"/>
        <n v="641"/>
        <n v="646"/>
        <n v="649"/>
        <n v="651"/>
        <n v="657"/>
        <n v="667"/>
        <n v="669"/>
        <n v="673"/>
        <n v="675"/>
        <n v="677"/>
        <n v="687"/>
        <n v="692"/>
        <n v="699"/>
        <n v="700"/>
        <n v="705"/>
        <n v="712"/>
        <n v="713"/>
        <n v="727"/>
        <n v="734"/>
        <n v="742"/>
        <n v="748"/>
        <n v="764"/>
        <n v="784"/>
        <n v="787"/>
        <n v="797"/>
        <n v="798"/>
        <n v="801"/>
        <n v="805"/>
        <n v="806"/>
        <n v="818"/>
        <n v="820"/>
        <n v="835"/>
        <n v="842"/>
        <n v="857"/>
        <n v="861"/>
        <n v="864"/>
        <n v="869"/>
        <n v="871"/>
        <n v="885"/>
        <n v="887"/>
        <n v="900"/>
        <n v="914"/>
        <n v="925"/>
        <n v="947"/>
        <n v="965"/>
        <n v="966"/>
        <n v="987"/>
        <n v="1004"/>
        <n v="1020"/>
        <n v="1026"/>
        <n v="1049"/>
        <n v="1050"/>
        <n v="1051"/>
        <n v="1058"/>
        <n v="1087"/>
        <n v="1110"/>
        <n v="1117"/>
        <n v="1126"/>
        <n v="1138"/>
        <n v="1140"/>
        <n v="1161"/>
        <n v="1220"/>
        <n v="1231"/>
        <n v="1233"/>
        <n v="1350"/>
        <n v="1366"/>
        <n v="1465"/>
        <n v="1477"/>
        <n v="1490"/>
      </sharedItems>
    </cacheField>
    <cacheField name="Revenue ($)" numFmtId="0">
      <sharedItems containsSemiMixedTypes="0" containsString="0" containsNumber="1" minValue="0" maxValue="68626.38" count="500">
        <n v="1280.48"/>
        <n v="1417.97"/>
        <n v="1454.76"/>
        <n v="1536.68"/>
        <n v="1589.54"/>
        <n v="1676.55"/>
        <n v="1761.1"/>
        <n v="1774.3"/>
        <n v="1776.95"/>
        <n v="1915.25"/>
        <n v="1915.67"/>
        <n v="1977.57"/>
        <n v="1979.71"/>
        <n v="1985.94"/>
        <n v="2021.61"/>
        <n v="2023.52"/>
        <n v="2024.23"/>
        <n v="2081.76"/>
        <n v="2107.28"/>
        <n v="2210.67"/>
        <n v="2221.57"/>
        <n v="2278.27"/>
        <n v="2279.48"/>
        <n v="2282.2"/>
        <n v="2282.6"/>
        <n v="2294.94"/>
        <n v="2337.43"/>
        <n v="2382.66"/>
        <n v="2387.48"/>
        <n v="2411.19"/>
        <n v="2421.47"/>
        <n v="2433.3"/>
        <n v="2500.08"/>
        <n v="2523.16"/>
        <n v="2582.1"/>
        <n v="2588.58"/>
        <n v="2630.69"/>
        <n v="2667.29"/>
        <n v="2700.22"/>
        <n v="2778.03"/>
        <n v="2897.53"/>
        <n v="2912.78"/>
        <n v="2929.99"/>
        <n v="2981.58"/>
        <n v="2987.67"/>
        <n v="2987.87"/>
        <n v="3008.02"/>
        <n v="3011.08"/>
        <n v="3037.32"/>
        <n v="3068.18"/>
        <n v="3097.05"/>
        <n v="3154.09"/>
        <n v="3158.41"/>
        <n v="3196.78"/>
        <n v="3264.12"/>
        <n v="3285.32"/>
        <n v="3294.51"/>
        <n v="3319.54"/>
        <n v="3329.38"/>
        <n v="3330.38"/>
        <n v="3338.16"/>
        <n v="3343.37"/>
        <n v="3369.14"/>
        <n v="3398.42"/>
        <n v="3421.68"/>
        <n v="3448.48"/>
        <n v="3451.72"/>
        <n v="3474.31"/>
        <n v="3511.94"/>
        <n v="3550.58"/>
        <n v="3624.74"/>
        <n v="3662.38"/>
        <n v="3721.23"/>
        <n v="3769.33"/>
        <n v="3776.7"/>
        <n v="3809.27"/>
        <n v="3906.93"/>
        <n v="3916.55"/>
        <n v="3997.89"/>
        <n v="4022.86"/>
        <n v="4024.75"/>
        <n v="4035.58"/>
        <n v="4043.13"/>
        <n v="4069.82"/>
        <n v="4124.35"/>
        <n v="4166.8"/>
        <n v="4170.99"/>
        <n v="4204.74"/>
        <n v="4210.65"/>
        <n v="4216.91"/>
        <n v="4220.76"/>
        <n v="4222.38"/>
        <n v="4245.73"/>
        <n v="4362.96"/>
        <n v="4376.81"/>
        <n v="4473.4"/>
        <n v="4481.19"/>
        <n v="4507.42"/>
        <n v="4547.68"/>
        <n v="4556.02"/>
        <n v="4632.56"/>
        <n v="4651.2"/>
        <n v="4663.76"/>
        <n v="4683.87"/>
        <n v="4724.09"/>
        <n v="4741.01"/>
        <n v="4802.17"/>
        <n v="4863.3"/>
        <n v="4891.61"/>
        <n v="4926.02"/>
        <n v="4947.96"/>
        <n v="4987.47"/>
        <n v="5007.65"/>
        <n v="5055.39"/>
        <n v="5060.61"/>
        <n v="5138.09"/>
        <n v="5195.85"/>
        <n v="5226.49"/>
        <n v="5278.77"/>
        <n v="5317.92"/>
        <n v="5402.3"/>
        <n v="5411.51"/>
        <n v="5416.72"/>
        <n v="5430.62"/>
        <n v="5476.94"/>
        <n v="5480.58"/>
        <n v="5517.32"/>
        <n v="5553.47"/>
        <n v="5579.2"/>
        <n v="5630.4"/>
        <n v="5643.53"/>
        <n v="5650.33"/>
        <n v="5675.13"/>
        <n v="5737.96"/>
        <n v="5839.25"/>
        <n v="5862.69"/>
        <n v="5894.26"/>
        <n v="5931.15"/>
        <n v="5944.56"/>
        <n v="5995.54"/>
        <n v="5999.55"/>
        <n v="6085.26"/>
        <n v="6129.07"/>
        <n v="6155.27"/>
        <n v="6166.63"/>
        <n v="6167.95"/>
        <n v="6201.79"/>
        <n v="6212.2"/>
        <n v="6239.36"/>
        <n v="6251.2"/>
        <n v="6260.06"/>
        <n v="6281.84"/>
        <n v="6283.67"/>
        <n v="6408.88"/>
        <n v="6435.33"/>
        <n v="6465.78"/>
        <n v="6549.61"/>
        <n v="6568.5"/>
        <n v="6574.5"/>
        <n v="6623.32"/>
        <n v="6632.31"/>
        <n v="6636.02"/>
        <n v="6676.78"/>
        <n v="6681.59"/>
        <n v="6699.92"/>
        <n v="6725.07"/>
        <n v="6731.19"/>
        <n v="6732.57"/>
        <n v="6741.34"/>
        <n v="6770.54"/>
        <n v="6804.51"/>
        <n v="6811.29"/>
        <n v="6895.63"/>
        <n v="6899.5"/>
        <n v="6905.75"/>
        <n v="6935.85"/>
        <n v="6941.89"/>
        <n v="6955.43"/>
        <n v="6962.39"/>
        <n v="6969.48"/>
        <n v="6989.75"/>
        <n v="7144.93"/>
        <n v="7163.56"/>
        <n v="7194.21"/>
        <n v="7197.08"/>
        <n v="7200.76"/>
        <n v="7219.59"/>
        <n v="7278.66"/>
        <n v="7321.65"/>
        <n v="7361.64"/>
        <n v="7377.97"/>
        <n v="7413.59"/>
        <n v="7416.47"/>
        <n v="7428.64"/>
        <n v="7451.04"/>
        <n v="7504.58"/>
        <n v="7510.12"/>
        <n v="7522.11"/>
        <n v="7575.88"/>
        <n v="7623.7"/>
        <n v="7633.28"/>
        <n v="7652.29"/>
        <n v="7721.66"/>
        <n v="7792.99"/>
        <n v="7828.58"/>
        <n v="7864.03"/>
        <n v="7895.42"/>
        <n v="7953.63"/>
        <n v="7960.22"/>
        <n v="7966.75"/>
        <n v="7976.42"/>
        <n v="7991"/>
        <n v="8036.08"/>
        <n v="8047.79"/>
        <n v="8068.34"/>
        <n v="8074.92"/>
        <n v="8123.31"/>
        <n v="8143.12"/>
        <n v="8169.16"/>
        <n v="8169.53"/>
        <n v="8186.92"/>
        <n v="8216.87"/>
        <n v="8241.9"/>
        <n v="8339.6"/>
        <n v="8402.39"/>
        <n v="8444.51"/>
        <n v="8450.44"/>
        <n v="8455.84"/>
        <n v="8466.18"/>
        <n v="8473.12"/>
        <n v="8509.11"/>
        <n v="8666.45"/>
        <n v="8699.23"/>
        <n v="8714.02"/>
        <n v="8770.41"/>
        <n v="8775.63"/>
        <n v="8833.3"/>
        <n v="8942.61"/>
        <n v="9004.87"/>
        <n v="9006.67"/>
        <n v="9051.92"/>
        <n v="9060.43"/>
        <n v="9083.63"/>
        <n v="9101.94"/>
        <n v="9122.05"/>
        <n v="9311.13"/>
        <n v="9319.33"/>
        <n v="9322.55"/>
        <n v="9358.58"/>
        <n v="9374.86"/>
        <n v="9446.97"/>
        <n v="9456.33"/>
        <n v="9468.03"/>
        <n v="9579.04"/>
        <n v="9720.95"/>
        <n v="9769.93"/>
        <n v="9774.71"/>
        <n v="9886.08"/>
        <n v="9931.86"/>
        <n v="9943.43"/>
        <n v="10032.68"/>
        <n v="10046.79"/>
        <n v="10047.75"/>
        <n v="10078.77"/>
        <n v="10082.05"/>
        <n v="10129.93"/>
        <n v="10159.62"/>
        <n v="10173.74"/>
        <n v="10186.71"/>
        <n v="10454.26"/>
        <n v="10503.59"/>
        <n v="10538.89"/>
        <n v="10580.59"/>
        <n v="10653.94"/>
        <n v="10703.23"/>
        <n v="10745.3"/>
        <n v="10767.36"/>
        <n v="10829.25"/>
        <n v="10933.24"/>
        <n v="11029.39"/>
        <n v="11069.93"/>
        <n v="11092.13"/>
        <n v="11159.76"/>
        <n v="11179.32"/>
        <n v="11187.91"/>
        <n v="11280.6"/>
        <n v="11377.73"/>
        <n v="11404.9"/>
        <n v="11449.83"/>
        <n v="11473.55"/>
        <n v="11633.47"/>
        <n v="11712.11"/>
        <n v="11715.2"/>
        <n v="11873.95"/>
        <n v="12009.81"/>
        <n v="12154.13"/>
        <n v="12160.2"/>
        <n v="12284.95"/>
        <n v="12328.6"/>
        <n v="12328.81"/>
        <n v="12376.85"/>
        <n v="12454.41"/>
        <n v="12463.52"/>
        <n v="12516.53"/>
        <n v="12587.92"/>
        <n v="12692.27"/>
        <n v="12777.5"/>
        <n v="12949.06"/>
        <n v="12982.87"/>
        <n v="13026.85"/>
        <n v="13030.17"/>
        <n v="13032.2"/>
        <n v="13049.79"/>
        <n v="13065.99"/>
        <n v="13139.92"/>
        <n v="13202.64"/>
        <n v="13205.54"/>
        <n v="13205.85"/>
        <n v="13268.68"/>
        <n v="13270.98"/>
        <n v="13278.24"/>
        <n v="13340.31"/>
        <n v="13450.51"/>
        <n v="13494.6"/>
        <n v="13523.31"/>
        <n v="13542.59"/>
        <n v="13678.9"/>
        <n v="13726.43"/>
        <n v="13782.54"/>
        <n v="13828.94"/>
        <n v="13839.02"/>
        <n v="13906.64"/>
        <n v="13984.51"/>
        <n v="14030.19"/>
        <n v="14045.96"/>
        <n v="14112.72"/>
        <n v="14132.67"/>
        <n v="14151.63"/>
        <n v="14197.01"/>
        <n v="14226.07"/>
        <n v="14254.85"/>
        <n v="14271.04"/>
        <n v="14281.33"/>
        <n v="14289.54"/>
        <n v="14344.86"/>
        <n v="14412.06"/>
        <n v="14432.56"/>
        <n v="14660.71"/>
        <n v="14682.74"/>
        <n v="14734.04"/>
        <n v="14875.1"/>
        <n v="14921.51"/>
        <n v="15482.29"/>
        <n v="15573.47"/>
        <n v="15625.13"/>
        <n v="15636.4"/>
        <n v="15656.97"/>
        <n v="15680.33"/>
        <n v="15689.67"/>
        <n v="15786.93"/>
        <n v="15854.56"/>
        <n v="15900.17"/>
        <n v="15943.84"/>
        <n v="15960.56"/>
        <n v="16020.93"/>
        <n v="16049.05"/>
        <n v="16149.09"/>
        <n v="16153.01"/>
        <n v="16194.23"/>
        <n v="16211.43"/>
        <n v="16347.05"/>
        <n v="16349.69"/>
        <n v="16363.21"/>
        <n v="16546.78"/>
        <n v="16562.32"/>
        <n v="16577.8"/>
        <n v="16743.62"/>
        <n v="16831.97"/>
        <n v="17251.98"/>
        <n v="17268.66"/>
        <n v="17583.19"/>
        <n v="17613.07"/>
        <n v="17670.18"/>
        <n v="17715.38"/>
        <n v="17722.12"/>
        <n v="17871.82"/>
        <n v="18007.07"/>
        <n v="18052.34"/>
        <n v="18072.54"/>
        <n v="18317.42"/>
        <n v="18333.21"/>
        <n v="18445.79"/>
        <n v="18445.81"/>
        <n v="18499.93"/>
        <n v="18533.24"/>
        <n v="18845.21"/>
        <n v="18914.49"/>
        <n v="19024.93"/>
        <n v="19296.61"/>
        <n v="19442.77"/>
        <n v="19740.75"/>
        <n v="19744.82"/>
        <n v="19868.19"/>
        <n v="20106.09"/>
        <n v="20281.1"/>
        <n v="20611.55"/>
        <n v="20864.92"/>
        <n v="20990.88"/>
        <n v="21022.93"/>
        <n v="21201.89"/>
        <n v="21235.12"/>
        <n v="21302.17"/>
        <n v="21305.93"/>
        <n v="21488.64"/>
        <n v="21497.82"/>
        <n v="21593.89"/>
        <n v="21915.46"/>
        <n v="21933.67"/>
        <n v="21982"/>
        <n v="22081.73"/>
        <n v="22155.6"/>
        <n v="22235.6"/>
        <n v="22239.34"/>
        <n v="22477.98"/>
        <n v="22486.76"/>
        <n v="22653.27"/>
        <n v="22717.09"/>
        <n v="22727.97"/>
        <n v="22828.83"/>
        <n v="22987.15"/>
        <n v="23259.9"/>
        <n v="23560.92"/>
        <n v="23922.52"/>
        <n v="23969.03"/>
        <n v="24287.78"/>
        <n v="24435.88"/>
        <n v="24436.75"/>
        <n v="24448.77"/>
        <n v="24714.23"/>
        <n v="25071.19"/>
        <n v="25589.07"/>
        <n v="25707.33"/>
        <n v="25901.88"/>
        <n v="26187.05"/>
        <n v="26863.09"/>
        <n v="26917.76"/>
        <n v="27277.55"/>
        <n v="27315.97"/>
        <n v="28412.14"/>
        <n v="28462.28"/>
        <n v="28510.72"/>
        <n v="29225.7"/>
        <n v="29820.87"/>
        <n v="30063.62"/>
        <n v="30095.35"/>
        <n v="30555.54"/>
        <n v="30807.82"/>
        <n v="30916.12"/>
        <n v="31117.39"/>
        <n v="31666.03"/>
        <n v="31779.19"/>
        <n v="31780.66"/>
        <n v="32255.72"/>
        <n v="32554.26"/>
        <n v="32688.85"/>
        <n v="32726.51"/>
        <n v="32945.85"/>
        <n v="33513.51"/>
        <n v="33680.19"/>
        <n v="33744.35"/>
        <n v="34417.1"/>
        <n v="34484.55"/>
        <n v="34841.82"/>
        <n v="37167.64"/>
        <n v="38057.08"/>
        <n v="38185.58"/>
        <n v="38366.62"/>
        <n v="38664.96"/>
        <n v="38757.61"/>
        <n v="39233.34"/>
        <n v="39235.23"/>
        <n v="39618.52"/>
        <n v="39752.95"/>
        <n v="39954.38"/>
        <n v="40922.84"/>
        <n v="41223.3"/>
        <n v="42881.66"/>
        <n v="43922.24"/>
        <n v="44057.81"/>
        <n v="44297.87"/>
        <n v="44875.57"/>
        <n v="48882.45"/>
        <n v="49816.77"/>
        <n v="54203.44"/>
        <n v="54603.35"/>
        <n v="55827.12"/>
        <n v="57739.35"/>
        <n v="60493.62"/>
        <n v="67053.58"/>
        <n v="68626.38"/>
      </sharedItems>
    </cacheField>
    <cacheField name="Column K" numFmtId="0">
      <sharedItems containsString="0" containsBlank="1" containsNonDate="0" count="1">
        <m/>
      </sharedItems>
    </cacheField>
    <cacheField name="Column L" numFmtId="0">
      <sharedItems containsString="0" containsBlank="1" containsNonDate="0" count="1">
        <m/>
      </sharedItems>
    </cacheField>
    <cacheField name="Column M" numFmtId="0">
      <sharedItems containsString="0" containsBlank="1" containsNonDate="0" count="1">
        <m/>
      </sharedItems>
    </cacheField>
    <cacheField name="Column N" numFmtId="0">
      <sharedItems containsString="0" containsBlank="1" containsNonDate="0" count="1">
        <m/>
      </sharedItems>
    </cacheField>
    <cacheField name="Column O" numFmtId="0">
      <sharedItems containsString="0" containsBlank="1" containsNonDate="0" count="1">
        <m/>
      </sharedItems>
    </cacheField>
    <cacheField name="Column P" numFmtId="0">
      <sharedItems containsString="0" containsBlank="1" containsNonDate="0" count="1">
        <m/>
      </sharedItems>
    </cacheField>
    <cacheField name="Column Q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497"/>
    <x v="0"/>
    <x v="0"/>
    <x v="0"/>
    <x v="175"/>
    <x v="141"/>
    <x v="183"/>
    <x v="210"/>
    <x v="67"/>
    <x v="58"/>
    <x v="0"/>
    <x v="0"/>
    <x v="0"/>
    <x v="0"/>
    <x v="0"/>
    <x v="0"/>
    <x v="0"/>
  </r>
  <r>
    <x v="169"/>
    <x v="0"/>
    <x v="4"/>
    <x v="1"/>
    <x v="411"/>
    <x v="476"/>
    <x v="94"/>
    <x v="12"/>
    <x v="27"/>
    <x v="69"/>
    <x v="0"/>
    <x v="0"/>
    <x v="0"/>
    <x v="0"/>
    <x v="0"/>
    <x v="0"/>
    <x v="0"/>
  </r>
  <r>
    <x v="214"/>
    <x v="0"/>
    <x v="1"/>
    <x v="0"/>
    <x v="94"/>
    <x v="86"/>
    <x v="426"/>
    <x v="292"/>
    <x v="151"/>
    <x v="162"/>
    <x v="0"/>
    <x v="0"/>
    <x v="0"/>
    <x v="0"/>
    <x v="0"/>
    <x v="0"/>
    <x v="0"/>
  </r>
  <r>
    <x v="76"/>
    <x v="0"/>
    <x v="4"/>
    <x v="0"/>
    <x v="446"/>
    <x v="459"/>
    <x v="19"/>
    <x v="111"/>
    <x v="169"/>
    <x v="333"/>
    <x v="0"/>
    <x v="0"/>
    <x v="0"/>
    <x v="0"/>
    <x v="0"/>
    <x v="0"/>
    <x v="0"/>
  </r>
  <r>
    <x v="174"/>
    <x v="1"/>
    <x v="2"/>
    <x v="3"/>
    <x v="484"/>
    <x v="488"/>
    <x v="314"/>
    <x v="434"/>
    <x v="318"/>
    <x v="480"/>
    <x v="0"/>
    <x v="0"/>
    <x v="0"/>
    <x v="0"/>
    <x v="0"/>
    <x v="0"/>
    <x v="0"/>
  </r>
  <r>
    <x v="209"/>
    <x v="1"/>
    <x v="3"/>
    <x v="3"/>
    <x v="368"/>
    <x v="285"/>
    <x v="481"/>
    <x v="289"/>
    <x v="178"/>
    <x v="249"/>
    <x v="0"/>
    <x v="0"/>
    <x v="0"/>
    <x v="0"/>
    <x v="0"/>
    <x v="0"/>
    <x v="0"/>
  </r>
  <r>
    <x v="255"/>
    <x v="1"/>
    <x v="2"/>
    <x v="2"/>
    <x v="269"/>
    <x v="323"/>
    <x v="233"/>
    <x v="43"/>
    <x v="105"/>
    <x v="255"/>
    <x v="0"/>
    <x v="0"/>
    <x v="0"/>
    <x v="0"/>
    <x v="0"/>
    <x v="0"/>
    <x v="0"/>
  </r>
  <r>
    <x v="337"/>
    <x v="1"/>
    <x v="4"/>
    <x v="0"/>
    <x v="491"/>
    <x v="497"/>
    <x v="244"/>
    <x v="304"/>
    <x v="212"/>
    <x v="229"/>
    <x v="0"/>
    <x v="0"/>
    <x v="0"/>
    <x v="0"/>
    <x v="0"/>
    <x v="0"/>
    <x v="0"/>
  </r>
  <r>
    <x v="197"/>
    <x v="2"/>
    <x v="3"/>
    <x v="3"/>
    <x v="312"/>
    <x v="257"/>
    <x v="343"/>
    <x v="60"/>
    <x v="138"/>
    <x v="219"/>
    <x v="0"/>
    <x v="0"/>
    <x v="0"/>
    <x v="0"/>
    <x v="0"/>
    <x v="0"/>
    <x v="0"/>
  </r>
  <r>
    <x v="86"/>
    <x v="3"/>
    <x v="4"/>
    <x v="1"/>
    <x v="270"/>
    <x v="213"/>
    <x v="155"/>
    <x v="313"/>
    <x v="219"/>
    <x v="366"/>
    <x v="0"/>
    <x v="0"/>
    <x v="0"/>
    <x v="0"/>
    <x v="0"/>
    <x v="0"/>
    <x v="0"/>
  </r>
  <r>
    <x v="459"/>
    <x v="3"/>
    <x v="2"/>
    <x v="2"/>
    <x v="242"/>
    <x v="224"/>
    <x v="24"/>
    <x v="3"/>
    <x v="98"/>
    <x v="200"/>
    <x v="0"/>
    <x v="0"/>
    <x v="0"/>
    <x v="0"/>
    <x v="0"/>
    <x v="0"/>
    <x v="0"/>
  </r>
  <r>
    <x v="113"/>
    <x v="3"/>
    <x v="3"/>
    <x v="3"/>
    <x v="37"/>
    <x v="42"/>
    <x v="157"/>
    <x v="113"/>
    <x v="200"/>
    <x v="313"/>
    <x v="0"/>
    <x v="0"/>
    <x v="0"/>
    <x v="0"/>
    <x v="0"/>
    <x v="0"/>
    <x v="0"/>
  </r>
  <r>
    <x v="112"/>
    <x v="3"/>
    <x v="1"/>
    <x v="0"/>
    <x v="421"/>
    <x v="456"/>
    <x v="257"/>
    <x v="396"/>
    <x v="207"/>
    <x v="322"/>
    <x v="0"/>
    <x v="0"/>
    <x v="0"/>
    <x v="0"/>
    <x v="0"/>
    <x v="0"/>
    <x v="0"/>
  </r>
  <r>
    <x v="132"/>
    <x v="4"/>
    <x v="0"/>
    <x v="3"/>
    <x v="424"/>
    <x v="417"/>
    <x v="318"/>
    <x v="444"/>
    <x v="48"/>
    <x v="114"/>
    <x v="0"/>
    <x v="0"/>
    <x v="0"/>
    <x v="0"/>
    <x v="0"/>
    <x v="0"/>
    <x v="0"/>
  </r>
  <r>
    <x v="110"/>
    <x v="4"/>
    <x v="3"/>
    <x v="1"/>
    <x v="164"/>
    <x v="205"/>
    <x v="330"/>
    <x v="55"/>
    <x v="77"/>
    <x v="59"/>
    <x v="0"/>
    <x v="0"/>
    <x v="0"/>
    <x v="0"/>
    <x v="0"/>
    <x v="0"/>
    <x v="0"/>
  </r>
  <r>
    <x v="249"/>
    <x v="4"/>
    <x v="1"/>
    <x v="2"/>
    <x v="255"/>
    <x v="334"/>
    <x v="312"/>
    <x v="306"/>
    <x v="50"/>
    <x v="106"/>
    <x v="0"/>
    <x v="0"/>
    <x v="0"/>
    <x v="0"/>
    <x v="0"/>
    <x v="0"/>
    <x v="0"/>
  </r>
  <r>
    <x v="327"/>
    <x v="4"/>
    <x v="0"/>
    <x v="2"/>
    <x v="379"/>
    <x v="305"/>
    <x v="191"/>
    <x v="176"/>
    <x v="216"/>
    <x v="243"/>
    <x v="0"/>
    <x v="0"/>
    <x v="0"/>
    <x v="0"/>
    <x v="0"/>
    <x v="0"/>
    <x v="0"/>
  </r>
  <r>
    <x v="274"/>
    <x v="5"/>
    <x v="0"/>
    <x v="3"/>
    <x v="150"/>
    <x v="146"/>
    <x v="466"/>
    <x v="439"/>
    <x v="265"/>
    <x v="408"/>
    <x v="0"/>
    <x v="0"/>
    <x v="0"/>
    <x v="0"/>
    <x v="0"/>
    <x v="0"/>
    <x v="0"/>
  </r>
  <r>
    <x v="193"/>
    <x v="5"/>
    <x v="2"/>
    <x v="2"/>
    <x v="125"/>
    <x v="118"/>
    <x v="360"/>
    <x v="433"/>
    <x v="282"/>
    <x v="459"/>
    <x v="0"/>
    <x v="0"/>
    <x v="0"/>
    <x v="0"/>
    <x v="0"/>
    <x v="0"/>
    <x v="0"/>
  </r>
  <r>
    <x v="42"/>
    <x v="6"/>
    <x v="4"/>
    <x v="0"/>
    <x v="410"/>
    <x v="466"/>
    <x v="399"/>
    <x v="411"/>
    <x v="66"/>
    <x v="47"/>
    <x v="0"/>
    <x v="0"/>
    <x v="0"/>
    <x v="0"/>
    <x v="0"/>
    <x v="0"/>
    <x v="0"/>
  </r>
  <r>
    <x v="288"/>
    <x v="6"/>
    <x v="1"/>
    <x v="1"/>
    <x v="191"/>
    <x v="204"/>
    <x v="166"/>
    <x v="330"/>
    <x v="246"/>
    <x v="298"/>
    <x v="0"/>
    <x v="0"/>
    <x v="0"/>
    <x v="0"/>
    <x v="0"/>
    <x v="0"/>
    <x v="0"/>
  </r>
  <r>
    <x v="91"/>
    <x v="6"/>
    <x v="1"/>
    <x v="2"/>
    <x v="457"/>
    <x v="449"/>
    <x v="120"/>
    <x v="28"/>
    <x v="28"/>
    <x v="51"/>
    <x v="0"/>
    <x v="0"/>
    <x v="0"/>
    <x v="0"/>
    <x v="0"/>
    <x v="0"/>
    <x v="0"/>
  </r>
  <r>
    <x v="353"/>
    <x v="6"/>
    <x v="1"/>
    <x v="3"/>
    <x v="301"/>
    <x v="377"/>
    <x v="36"/>
    <x v="4"/>
    <x v="57"/>
    <x v="161"/>
    <x v="0"/>
    <x v="0"/>
    <x v="0"/>
    <x v="0"/>
    <x v="0"/>
    <x v="0"/>
    <x v="0"/>
  </r>
  <r>
    <x v="84"/>
    <x v="6"/>
    <x v="0"/>
    <x v="0"/>
    <x v="419"/>
    <x v="395"/>
    <x v="134"/>
    <x v="26"/>
    <x v="63"/>
    <x v="71"/>
    <x v="0"/>
    <x v="0"/>
    <x v="0"/>
    <x v="0"/>
    <x v="0"/>
    <x v="0"/>
    <x v="0"/>
  </r>
  <r>
    <x v="282"/>
    <x v="7"/>
    <x v="4"/>
    <x v="0"/>
    <x v="32"/>
    <x v="78"/>
    <x v="143"/>
    <x v="22"/>
    <x v="56"/>
    <x v="102"/>
    <x v="0"/>
    <x v="0"/>
    <x v="0"/>
    <x v="0"/>
    <x v="0"/>
    <x v="0"/>
    <x v="0"/>
  </r>
  <r>
    <x v="188"/>
    <x v="7"/>
    <x v="1"/>
    <x v="3"/>
    <x v="160"/>
    <x v="182"/>
    <x v="393"/>
    <x v="17"/>
    <x v="27"/>
    <x v="38"/>
    <x v="0"/>
    <x v="0"/>
    <x v="0"/>
    <x v="0"/>
    <x v="0"/>
    <x v="0"/>
    <x v="0"/>
  </r>
  <r>
    <x v="225"/>
    <x v="7"/>
    <x v="4"/>
    <x v="3"/>
    <x v="487"/>
    <x v="413"/>
    <x v="159"/>
    <x v="36"/>
    <x v="129"/>
    <x v="213"/>
    <x v="0"/>
    <x v="0"/>
    <x v="0"/>
    <x v="0"/>
    <x v="0"/>
    <x v="0"/>
    <x v="0"/>
  </r>
  <r>
    <x v="374"/>
    <x v="8"/>
    <x v="0"/>
    <x v="2"/>
    <x v="426"/>
    <x v="473"/>
    <x v="442"/>
    <x v="443"/>
    <x v="37"/>
    <x v="84"/>
    <x v="0"/>
    <x v="0"/>
    <x v="0"/>
    <x v="0"/>
    <x v="0"/>
    <x v="0"/>
    <x v="0"/>
  </r>
  <r>
    <x v="271"/>
    <x v="8"/>
    <x v="4"/>
    <x v="3"/>
    <x v="460"/>
    <x v="485"/>
    <x v="262"/>
    <x v="395"/>
    <x v="325"/>
    <x v="468"/>
    <x v="0"/>
    <x v="0"/>
    <x v="0"/>
    <x v="0"/>
    <x v="0"/>
    <x v="0"/>
    <x v="0"/>
  </r>
  <r>
    <x v="228"/>
    <x v="9"/>
    <x v="1"/>
    <x v="0"/>
    <x v="464"/>
    <x v="462"/>
    <x v="141"/>
    <x v="68"/>
    <x v="79"/>
    <x v="144"/>
    <x v="0"/>
    <x v="0"/>
    <x v="0"/>
    <x v="0"/>
    <x v="0"/>
    <x v="0"/>
    <x v="0"/>
  </r>
  <r>
    <x v="392"/>
    <x v="9"/>
    <x v="0"/>
    <x v="2"/>
    <x v="387"/>
    <x v="311"/>
    <x v="451"/>
    <x v="451"/>
    <x v="324"/>
    <x v="481"/>
    <x v="0"/>
    <x v="0"/>
    <x v="0"/>
    <x v="0"/>
    <x v="0"/>
    <x v="0"/>
    <x v="0"/>
  </r>
  <r>
    <x v="360"/>
    <x v="9"/>
    <x v="4"/>
    <x v="3"/>
    <x v="389"/>
    <x v="310"/>
    <x v="423"/>
    <x v="97"/>
    <x v="8"/>
    <x v="17"/>
    <x v="0"/>
    <x v="0"/>
    <x v="0"/>
    <x v="0"/>
    <x v="0"/>
    <x v="0"/>
    <x v="0"/>
  </r>
  <r>
    <x v="88"/>
    <x v="9"/>
    <x v="4"/>
    <x v="2"/>
    <x v="440"/>
    <x v="471"/>
    <x v="350"/>
    <x v="119"/>
    <x v="127"/>
    <x v="268"/>
    <x v="0"/>
    <x v="0"/>
    <x v="0"/>
    <x v="0"/>
    <x v="0"/>
    <x v="0"/>
    <x v="0"/>
  </r>
  <r>
    <x v="60"/>
    <x v="9"/>
    <x v="0"/>
    <x v="0"/>
    <x v="155"/>
    <x v="111"/>
    <x v="320"/>
    <x v="230"/>
    <x v="256"/>
    <x v="440"/>
    <x v="0"/>
    <x v="0"/>
    <x v="0"/>
    <x v="0"/>
    <x v="0"/>
    <x v="0"/>
    <x v="0"/>
  </r>
  <r>
    <x v="14"/>
    <x v="10"/>
    <x v="1"/>
    <x v="0"/>
    <x v="11"/>
    <x v="41"/>
    <x v="98"/>
    <x v="120"/>
    <x v="12"/>
    <x v="10"/>
    <x v="0"/>
    <x v="0"/>
    <x v="0"/>
    <x v="0"/>
    <x v="0"/>
    <x v="0"/>
    <x v="0"/>
  </r>
  <r>
    <x v="138"/>
    <x v="10"/>
    <x v="1"/>
    <x v="3"/>
    <x v="305"/>
    <x v="304"/>
    <x v="414"/>
    <x v="391"/>
    <x v="258"/>
    <x v="355"/>
    <x v="0"/>
    <x v="0"/>
    <x v="0"/>
    <x v="0"/>
    <x v="0"/>
    <x v="0"/>
    <x v="0"/>
  </r>
  <r>
    <x v="178"/>
    <x v="10"/>
    <x v="0"/>
    <x v="2"/>
    <x v="378"/>
    <x v="455"/>
    <x v="142"/>
    <x v="222"/>
    <x v="188"/>
    <x v="368"/>
    <x v="0"/>
    <x v="0"/>
    <x v="0"/>
    <x v="0"/>
    <x v="0"/>
    <x v="0"/>
    <x v="0"/>
  </r>
  <r>
    <x v="324"/>
    <x v="11"/>
    <x v="0"/>
    <x v="1"/>
    <x v="361"/>
    <x v="308"/>
    <x v="362"/>
    <x v="425"/>
    <x v="199"/>
    <x v="210"/>
    <x v="0"/>
    <x v="0"/>
    <x v="0"/>
    <x v="0"/>
    <x v="0"/>
    <x v="0"/>
    <x v="0"/>
  </r>
  <r>
    <x v="202"/>
    <x v="11"/>
    <x v="1"/>
    <x v="0"/>
    <x v="90"/>
    <x v="87"/>
    <x v="353"/>
    <x v="301"/>
    <x v="128"/>
    <x v="235"/>
    <x v="0"/>
    <x v="0"/>
    <x v="0"/>
    <x v="0"/>
    <x v="0"/>
    <x v="0"/>
    <x v="0"/>
  </r>
  <r>
    <x v="329"/>
    <x v="11"/>
    <x v="0"/>
    <x v="3"/>
    <x v="203"/>
    <x v="178"/>
    <x v="121"/>
    <x v="270"/>
    <x v="241"/>
    <x v="412"/>
    <x v="0"/>
    <x v="0"/>
    <x v="0"/>
    <x v="0"/>
    <x v="0"/>
    <x v="0"/>
    <x v="0"/>
  </r>
  <r>
    <x v="136"/>
    <x v="12"/>
    <x v="2"/>
    <x v="2"/>
    <x v="454"/>
    <x v="369"/>
    <x v="384"/>
    <x v="205"/>
    <x v="256"/>
    <x v="360"/>
    <x v="0"/>
    <x v="0"/>
    <x v="0"/>
    <x v="0"/>
    <x v="0"/>
    <x v="0"/>
    <x v="0"/>
  </r>
  <r>
    <x v="252"/>
    <x v="13"/>
    <x v="1"/>
    <x v="2"/>
    <x v="295"/>
    <x v="313"/>
    <x v="172"/>
    <x v="250"/>
    <x v="208"/>
    <x v="392"/>
    <x v="0"/>
    <x v="0"/>
    <x v="0"/>
    <x v="0"/>
    <x v="0"/>
    <x v="0"/>
    <x v="0"/>
  </r>
  <r>
    <x v="403"/>
    <x v="14"/>
    <x v="2"/>
    <x v="3"/>
    <x v="497"/>
    <x v="468"/>
    <x v="140"/>
    <x v="219"/>
    <x v="194"/>
    <x v="300"/>
    <x v="0"/>
    <x v="0"/>
    <x v="0"/>
    <x v="0"/>
    <x v="0"/>
    <x v="0"/>
    <x v="0"/>
  </r>
  <r>
    <x v="246"/>
    <x v="14"/>
    <x v="0"/>
    <x v="0"/>
    <x v="207"/>
    <x v="199"/>
    <x v="178"/>
    <x v="16"/>
    <x v="47"/>
    <x v="78"/>
    <x v="0"/>
    <x v="0"/>
    <x v="0"/>
    <x v="0"/>
    <x v="0"/>
    <x v="0"/>
    <x v="0"/>
  </r>
  <r>
    <x v="435"/>
    <x v="15"/>
    <x v="2"/>
    <x v="0"/>
    <x v="432"/>
    <x v="465"/>
    <x v="311"/>
    <x v="352"/>
    <x v="261"/>
    <x v="437"/>
    <x v="0"/>
    <x v="0"/>
    <x v="0"/>
    <x v="0"/>
    <x v="0"/>
    <x v="0"/>
    <x v="0"/>
  </r>
  <r>
    <x v="34"/>
    <x v="15"/>
    <x v="4"/>
    <x v="1"/>
    <x v="142"/>
    <x v="150"/>
    <x v="327"/>
    <x v="436"/>
    <x v="305"/>
    <x v="473"/>
    <x v="0"/>
    <x v="0"/>
    <x v="0"/>
    <x v="0"/>
    <x v="0"/>
    <x v="0"/>
    <x v="0"/>
  </r>
  <r>
    <x v="347"/>
    <x v="15"/>
    <x v="1"/>
    <x v="3"/>
    <x v="392"/>
    <x v="360"/>
    <x v="470"/>
    <x v="123"/>
    <x v="104"/>
    <x v="217"/>
    <x v="0"/>
    <x v="0"/>
    <x v="0"/>
    <x v="0"/>
    <x v="0"/>
    <x v="0"/>
    <x v="0"/>
  </r>
  <r>
    <x v="376"/>
    <x v="16"/>
    <x v="2"/>
    <x v="3"/>
    <x v="174"/>
    <x v="147"/>
    <x v="324"/>
    <x v="105"/>
    <x v="21"/>
    <x v="56"/>
    <x v="0"/>
    <x v="0"/>
    <x v="0"/>
    <x v="0"/>
    <x v="0"/>
    <x v="0"/>
    <x v="0"/>
  </r>
  <r>
    <x v="65"/>
    <x v="16"/>
    <x v="3"/>
    <x v="1"/>
    <x v="159"/>
    <x v="198"/>
    <x v="437"/>
    <x v="160"/>
    <x v="131"/>
    <x v="294"/>
    <x v="0"/>
    <x v="0"/>
    <x v="0"/>
    <x v="0"/>
    <x v="0"/>
    <x v="0"/>
    <x v="0"/>
  </r>
  <r>
    <x v="471"/>
    <x v="16"/>
    <x v="2"/>
    <x v="2"/>
    <x v="23"/>
    <x v="28"/>
    <x v="92"/>
    <x v="236"/>
    <x v="275"/>
    <x v="452"/>
    <x v="0"/>
    <x v="0"/>
    <x v="0"/>
    <x v="0"/>
    <x v="0"/>
    <x v="0"/>
    <x v="0"/>
  </r>
  <r>
    <x v="370"/>
    <x v="17"/>
    <x v="4"/>
    <x v="3"/>
    <x v="407"/>
    <x v="351"/>
    <x v="226"/>
    <x v="108"/>
    <x v="121"/>
    <x v="149"/>
    <x v="0"/>
    <x v="0"/>
    <x v="0"/>
    <x v="0"/>
    <x v="0"/>
    <x v="0"/>
    <x v="0"/>
  </r>
  <r>
    <x v="297"/>
    <x v="17"/>
    <x v="1"/>
    <x v="2"/>
    <x v="422"/>
    <x v="474"/>
    <x v="348"/>
    <x v="166"/>
    <x v="155"/>
    <x v="246"/>
    <x v="0"/>
    <x v="0"/>
    <x v="0"/>
    <x v="0"/>
    <x v="0"/>
    <x v="0"/>
    <x v="0"/>
  </r>
  <r>
    <x v="460"/>
    <x v="17"/>
    <x v="1"/>
    <x v="2"/>
    <x v="67"/>
    <x v="68"/>
    <x v="194"/>
    <x v="318"/>
    <x v="24"/>
    <x v="80"/>
    <x v="0"/>
    <x v="0"/>
    <x v="0"/>
    <x v="0"/>
    <x v="0"/>
    <x v="0"/>
    <x v="0"/>
  </r>
  <r>
    <x v="216"/>
    <x v="18"/>
    <x v="2"/>
    <x v="1"/>
    <x v="391"/>
    <x v="400"/>
    <x v="28"/>
    <x v="64"/>
    <x v="153"/>
    <x v="155"/>
    <x v="0"/>
    <x v="0"/>
    <x v="0"/>
    <x v="0"/>
    <x v="0"/>
    <x v="0"/>
    <x v="0"/>
  </r>
  <r>
    <x v="343"/>
    <x v="18"/>
    <x v="1"/>
    <x v="1"/>
    <x v="414"/>
    <x v="318"/>
    <x v="287"/>
    <x v="8"/>
    <x v="86"/>
    <x v="172"/>
    <x v="0"/>
    <x v="0"/>
    <x v="0"/>
    <x v="0"/>
    <x v="0"/>
    <x v="0"/>
    <x v="0"/>
  </r>
  <r>
    <x v="273"/>
    <x v="19"/>
    <x v="1"/>
    <x v="2"/>
    <x v="152"/>
    <x v="201"/>
    <x v="55"/>
    <x v="71"/>
    <x v="132"/>
    <x v="116"/>
    <x v="0"/>
    <x v="0"/>
    <x v="0"/>
    <x v="0"/>
    <x v="0"/>
    <x v="0"/>
    <x v="0"/>
  </r>
  <r>
    <x v="474"/>
    <x v="20"/>
    <x v="3"/>
    <x v="1"/>
    <x v="16"/>
    <x v="3"/>
    <x v="87"/>
    <x v="173"/>
    <x v="206"/>
    <x v="399"/>
    <x v="0"/>
    <x v="0"/>
    <x v="0"/>
    <x v="0"/>
    <x v="0"/>
    <x v="0"/>
    <x v="0"/>
  </r>
  <r>
    <x v="213"/>
    <x v="20"/>
    <x v="3"/>
    <x v="1"/>
    <x v="182"/>
    <x v="121"/>
    <x v="12"/>
    <x v="138"/>
    <x v="130"/>
    <x v="195"/>
    <x v="0"/>
    <x v="0"/>
    <x v="0"/>
    <x v="0"/>
    <x v="0"/>
    <x v="0"/>
    <x v="0"/>
  </r>
  <r>
    <x v="451"/>
    <x v="21"/>
    <x v="2"/>
    <x v="1"/>
    <x v="356"/>
    <x v="359"/>
    <x v="332"/>
    <x v="399"/>
    <x v="335"/>
    <x v="491"/>
    <x v="0"/>
    <x v="0"/>
    <x v="0"/>
    <x v="0"/>
    <x v="0"/>
    <x v="0"/>
    <x v="0"/>
  </r>
  <r>
    <x v="291"/>
    <x v="22"/>
    <x v="4"/>
    <x v="3"/>
    <x v="195"/>
    <x v="131"/>
    <x v="482"/>
    <x v="268"/>
    <x v="47"/>
    <x v="41"/>
    <x v="0"/>
    <x v="0"/>
    <x v="0"/>
    <x v="0"/>
    <x v="0"/>
    <x v="0"/>
    <x v="0"/>
  </r>
  <r>
    <x v="153"/>
    <x v="22"/>
    <x v="2"/>
    <x v="3"/>
    <x v="46"/>
    <x v="19"/>
    <x v="453"/>
    <x v="373"/>
    <x v="3"/>
    <x v="19"/>
    <x v="0"/>
    <x v="0"/>
    <x v="0"/>
    <x v="0"/>
    <x v="0"/>
    <x v="0"/>
    <x v="0"/>
  </r>
  <r>
    <x v="46"/>
    <x v="23"/>
    <x v="1"/>
    <x v="3"/>
    <x v="170"/>
    <x v="228"/>
    <x v="416"/>
    <x v="361"/>
    <x v="155"/>
    <x v="341"/>
    <x v="0"/>
    <x v="0"/>
    <x v="0"/>
    <x v="0"/>
    <x v="0"/>
    <x v="0"/>
    <x v="0"/>
  </r>
  <r>
    <x v="90"/>
    <x v="23"/>
    <x v="3"/>
    <x v="1"/>
    <x v="404"/>
    <x v="453"/>
    <x v="250"/>
    <x v="418"/>
    <x v="302"/>
    <x v="470"/>
    <x v="0"/>
    <x v="0"/>
    <x v="0"/>
    <x v="0"/>
    <x v="0"/>
    <x v="0"/>
    <x v="0"/>
  </r>
  <r>
    <x v="152"/>
    <x v="24"/>
    <x v="2"/>
    <x v="1"/>
    <x v="2"/>
    <x v="7"/>
    <x v="75"/>
    <x v="242"/>
    <x v="257"/>
    <x v="291"/>
    <x v="0"/>
    <x v="0"/>
    <x v="0"/>
    <x v="0"/>
    <x v="0"/>
    <x v="0"/>
    <x v="0"/>
  </r>
  <r>
    <x v="317"/>
    <x v="24"/>
    <x v="2"/>
    <x v="2"/>
    <x v="322"/>
    <x v="272"/>
    <x v="149"/>
    <x v="328"/>
    <x v="186"/>
    <x v="376"/>
    <x v="0"/>
    <x v="0"/>
    <x v="0"/>
    <x v="0"/>
    <x v="0"/>
    <x v="0"/>
    <x v="0"/>
  </r>
  <r>
    <x v="275"/>
    <x v="24"/>
    <x v="4"/>
    <x v="3"/>
    <x v="459"/>
    <x v="427"/>
    <x v="428"/>
    <x v="337"/>
    <x v="152"/>
    <x v="231"/>
    <x v="0"/>
    <x v="0"/>
    <x v="0"/>
    <x v="0"/>
    <x v="0"/>
    <x v="0"/>
    <x v="0"/>
  </r>
  <r>
    <x v="352"/>
    <x v="24"/>
    <x v="1"/>
    <x v="1"/>
    <x v="376"/>
    <x v="368"/>
    <x v="401"/>
    <x v="430"/>
    <x v="255"/>
    <x v="390"/>
    <x v="0"/>
    <x v="0"/>
    <x v="0"/>
    <x v="0"/>
    <x v="0"/>
    <x v="0"/>
    <x v="0"/>
  </r>
  <r>
    <x v="339"/>
    <x v="25"/>
    <x v="3"/>
    <x v="2"/>
    <x v="268"/>
    <x v="348"/>
    <x v="369"/>
    <x v="420"/>
    <x v="241"/>
    <x v="261"/>
    <x v="0"/>
    <x v="0"/>
    <x v="0"/>
    <x v="0"/>
    <x v="0"/>
    <x v="0"/>
    <x v="0"/>
  </r>
  <r>
    <x v="290"/>
    <x v="26"/>
    <x v="4"/>
    <x v="2"/>
    <x v="176"/>
    <x v="148"/>
    <x v="200"/>
    <x v="369"/>
    <x v="91"/>
    <x v="196"/>
    <x v="0"/>
    <x v="0"/>
    <x v="0"/>
    <x v="0"/>
    <x v="0"/>
    <x v="0"/>
    <x v="0"/>
  </r>
  <r>
    <x v="183"/>
    <x v="26"/>
    <x v="4"/>
    <x v="1"/>
    <x v="381"/>
    <x v="398"/>
    <x v="277"/>
    <x v="154"/>
    <x v="0"/>
    <x v="21"/>
    <x v="0"/>
    <x v="0"/>
    <x v="0"/>
    <x v="0"/>
    <x v="0"/>
    <x v="0"/>
    <x v="0"/>
  </r>
  <r>
    <x v="467"/>
    <x v="27"/>
    <x v="3"/>
    <x v="1"/>
    <x v="71"/>
    <x v="34"/>
    <x v="495"/>
    <x v="340"/>
    <x v="290"/>
    <x v="448"/>
    <x v="0"/>
    <x v="0"/>
    <x v="0"/>
    <x v="0"/>
    <x v="0"/>
    <x v="0"/>
    <x v="0"/>
  </r>
  <r>
    <x v="440"/>
    <x v="28"/>
    <x v="3"/>
    <x v="0"/>
    <x v="115"/>
    <x v="85"/>
    <x v="124"/>
    <x v="95"/>
    <x v="160"/>
    <x v="332"/>
    <x v="0"/>
    <x v="0"/>
    <x v="0"/>
    <x v="0"/>
    <x v="0"/>
    <x v="0"/>
    <x v="0"/>
  </r>
  <r>
    <x v="115"/>
    <x v="28"/>
    <x v="4"/>
    <x v="3"/>
    <x v="290"/>
    <x v="328"/>
    <x v="486"/>
    <x v="473"/>
    <x v="326"/>
    <x v="405"/>
    <x v="0"/>
    <x v="0"/>
    <x v="0"/>
    <x v="0"/>
    <x v="0"/>
    <x v="0"/>
    <x v="0"/>
  </r>
  <r>
    <x v="495"/>
    <x v="28"/>
    <x v="3"/>
    <x v="3"/>
    <x v="171"/>
    <x v="168"/>
    <x v="56"/>
    <x v="66"/>
    <x v="162"/>
    <x v="302"/>
    <x v="0"/>
    <x v="0"/>
    <x v="0"/>
    <x v="0"/>
    <x v="0"/>
    <x v="0"/>
    <x v="0"/>
  </r>
  <r>
    <x v="52"/>
    <x v="28"/>
    <x v="0"/>
    <x v="2"/>
    <x v="326"/>
    <x v="382"/>
    <x v="104"/>
    <x v="228"/>
    <x v="111"/>
    <x v="139"/>
    <x v="0"/>
    <x v="0"/>
    <x v="0"/>
    <x v="0"/>
    <x v="0"/>
    <x v="0"/>
    <x v="0"/>
  </r>
  <r>
    <x v="164"/>
    <x v="28"/>
    <x v="1"/>
    <x v="1"/>
    <x v="131"/>
    <x v="97"/>
    <x v="494"/>
    <x v="290"/>
    <x v="274"/>
    <x v="407"/>
    <x v="0"/>
    <x v="0"/>
    <x v="0"/>
    <x v="0"/>
    <x v="0"/>
    <x v="0"/>
    <x v="0"/>
  </r>
  <r>
    <x v="387"/>
    <x v="28"/>
    <x v="4"/>
    <x v="3"/>
    <x v="51"/>
    <x v="44"/>
    <x v="489"/>
    <x v="432"/>
    <x v="130"/>
    <x v="274"/>
    <x v="0"/>
    <x v="0"/>
    <x v="0"/>
    <x v="0"/>
    <x v="0"/>
    <x v="0"/>
    <x v="0"/>
  </r>
  <r>
    <x v="101"/>
    <x v="29"/>
    <x v="3"/>
    <x v="1"/>
    <x v="309"/>
    <x v="354"/>
    <x v="459"/>
    <x v="153"/>
    <x v="137"/>
    <x v="317"/>
    <x v="0"/>
    <x v="0"/>
    <x v="0"/>
    <x v="0"/>
    <x v="0"/>
    <x v="0"/>
    <x v="0"/>
  </r>
  <r>
    <x v="276"/>
    <x v="29"/>
    <x v="2"/>
    <x v="3"/>
    <x v="363"/>
    <x v="358"/>
    <x v="71"/>
    <x v="217"/>
    <x v="159"/>
    <x v="215"/>
    <x v="0"/>
    <x v="0"/>
    <x v="0"/>
    <x v="0"/>
    <x v="0"/>
    <x v="0"/>
    <x v="0"/>
  </r>
  <r>
    <x v="97"/>
    <x v="29"/>
    <x v="0"/>
    <x v="3"/>
    <x v="13"/>
    <x v="36"/>
    <x v="238"/>
    <x v="310"/>
    <x v="297"/>
    <x v="417"/>
    <x v="0"/>
    <x v="0"/>
    <x v="0"/>
    <x v="0"/>
    <x v="0"/>
    <x v="0"/>
    <x v="0"/>
  </r>
  <r>
    <x v="154"/>
    <x v="29"/>
    <x v="2"/>
    <x v="1"/>
    <x v="367"/>
    <x v="394"/>
    <x v="102"/>
    <x v="180"/>
    <x v="233"/>
    <x v="423"/>
    <x v="0"/>
    <x v="0"/>
    <x v="0"/>
    <x v="0"/>
    <x v="0"/>
    <x v="0"/>
    <x v="0"/>
  </r>
  <r>
    <x v="19"/>
    <x v="30"/>
    <x v="1"/>
    <x v="1"/>
    <x v="88"/>
    <x v="49"/>
    <x v="284"/>
    <x v="371"/>
    <x v="52"/>
    <x v="75"/>
    <x v="0"/>
    <x v="0"/>
    <x v="0"/>
    <x v="0"/>
    <x v="0"/>
    <x v="0"/>
    <x v="0"/>
  </r>
  <r>
    <x v="457"/>
    <x v="31"/>
    <x v="2"/>
    <x v="2"/>
    <x v="80"/>
    <x v="117"/>
    <x v="137"/>
    <x v="247"/>
    <x v="174"/>
    <x v="289"/>
    <x v="0"/>
    <x v="0"/>
    <x v="0"/>
    <x v="0"/>
    <x v="0"/>
    <x v="0"/>
    <x v="0"/>
  </r>
  <r>
    <x v="441"/>
    <x v="32"/>
    <x v="1"/>
    <x v="0"/>
    <x v="98"/>
    <x v="151"/>
    <x v="237"/>
    <x v="103"/>
    <x v="145"/>
    <x v="223"/>
    <x v="0"/>
    <x v="0"/>
    <x v="0"/>
    <x v="0"/>
    <x v="0"/>
    <x v="0"/>
    <x v="0"/>
  </r>
  <r>
    <x v="80"/>
    <x v="32"/>
    <x v="3"/>
    <x v="3"/>
    <x v="469"/>
    <x v="491"/>
    <x v="454"/>
    <x v="472"/>
    <x v="78"/>
    <x v="204"/>
    <x v="0"/>
    <x v="0"/>
    <x v="0"/>
    <x v="0"/>
    <x v="0"/>
    <x v="0"/>
    <x v="0"/>
  </r>
  <r>
    <x v="41"/>
    <x v="32"/>
    <x v="4"/>
    <x v="1"/>
    <x v="41"/>
    <x v="29"/>
    <x v="433"/>
    <x v="476"/>
    <x v="346"/>
    <x v="489"/>
    <x v="0"/>
    <x v="0"/>
    <x v="0"/>
    <x v="0"/>
    <x v="0"/>
    <x v="0"/>
    <x v="0"/>
  </r>
  <r>
    <x v="13"/>
    <x v="33"/>
    <x v="3"/>
    <x v="0"/>
    <x v="208"/>
    <x v="166"/>
    <x v="251"/>
    <x v="227"/>
    <x v="4"/>
    <x v="14"/>
    <x v="0"/>
    <x v="0"/>
    <x v="0"/>
    <x v="0"/>
    <x v="0"/>
    <x v="0"/>
    <x v="0"/>
  </r>
  <r>
    <x v="425"/>
    <x v="33"/>
    <x v="4"/>
    <x v="0"/>
    <x v="39"/>
    <x v="27"/>
    <x v="455"/>
    <x v="139"/>
    <x v="211"/>
    <x v="400"/>
    <x v="0"/>
    <x v="0"/>
    <x v="0"/>
    <x v="0"/>
    <x v="0"/>
    <x v="0"/>
    <x v="0"/>
  </r>
  <r>
    <x v="121"/>
    <x v="34"/>
    <x v="3"/>
    <x v="0"/>
    <x v="257"/>
    <x v="340"/>
    <x v="9"/>
    <x v="127"/>
    <x v="217"/>
    <x v="307"/>
    <x v="0"/>
    <x v="0"/>
    <x v="0"/>
    <x v="0"/>
    <x v="0"/>
    <x v="0"/>
    <x v="0"/>
  </r>
  <r>
    <x v="191"/>
    <x v="34"/>
    <x v="0"/>
    <x v="3"/>
    <x v="296"/>
    <x v="373"/>
    <x v="96"/>
    <x v="227"/>
    <x v="248"/>
    <x v="436"/>
    <x v="0"/>
    <x v="0"/>
    <x v="0"/>
    <x v="0"/>
    <x v="0"/>
    <x v="0"/>
    <x v="0"/>
  </r>
  <r>
    <x v="485"/>
    <x v="35"/>
    <x v="2"/>
    <x v="1"/>
    <x v="465"/>
    <x v="480"/>
    <x v="123"/>
    <x v="191"/>
    <x v="228"/>
    <x v="387"/>
    <x v="0"/>
    <x v="0"/>
    <x v="0"/>
    <x v="0"/>
    <x v="0"/>
    <x v="0"/>
    <x v="0"/>
  </r>
  <r>
    <x v="73"/>
    <x v="35"/>
    <x v="0"/>
    <x v="1"/>
    <x v="418"/>
    <x v="446"/>
    <x v="182"/>
    <x v="178"/>
    <x v="166"/>
    <x v="290"/>
    <x v="0"/>
    <x v="0"/>
    <x v="0"/>
    <x v="0"/>
    <x v="0"/>
    <x v="0"/>
    <x v="0"/>
  </r>
  <r>
    <x v="1"/>
    <x v="35"/>
    <x v="0"/>
    <x v="2"/>
    <x v="282"/>
    <x v="231"/>
    <x v="44"/>
    <x v="11"/>
    <x v="14"/>
    <x v="8"/>
    <x v="0"/>
    <x v="0"/>
    <x v="0"/>
    <x v="0"/>
    <x v="0"/>
    <x v="0"/>
    <x v="0"/>
  </r>
  <r>
    <x v="472"/>
    <x v="35"/>
    <x v="3"/>
    <x v="1"/>
    <x v="14"/>
    <x v="2"/>
    <x v="48"/>
    <x v="220"/>
    <x v="239"/>
    <x v="362"/>
    <x v="0"/>
    <x v="0"/>
    <x v="0"/>
    <x v="0"/>
    <x v="0"/>
    <x v="0"/>
    <x v="0"/>
  </r>
  <r>
    <x v="54"/>
    <x v="35"/>
    <x v="1"/>
    <x v="0"/>
    <x v="308"/>
    <x v="320"/>
    <x v="167"/>
    <x v="133"/>
    <x v="69"/>
    <x v="66"/>
    <x v="0"/>
    <x v="0"/>
    <x v="0"/>
    <x v="0"/>
    <x v="0"/>
    <x v="0"/>
    <x v="0"/>
  </r>
  <r>
    <x v="421"/>
    <x v="36"/>
    <x v="4"/>
    <x v="0"/>
    <x v="216"/>
    <x v="152"/>
    <x v="272"/>
    <x v="431"/>
    <x v="332"/>
    <x v="430"/>
    <x v="0"/>
    <x v="0"/>
    <x v="0"/>
    <x v="0"/>
    <x v="0"/>
    <x v="0"/>
    <x v="0"/>
  </r>
  <r>
    <x v="303"/>
    <x v="36"/>
    <x v="2"/>
    <x v="0"/>
    <x v="183"/>
    <x v="197"/>
    <x v="273"/>
    <x v="336"/>
    <x v="45"/>
    <x v="53"/>
    <x v="0"/>
    <x v="0"/>
    <x v="0"/>
    <x v="0"/>
    <x v="0"/>
    <x v="0"/>
    <x v="0"/>
  </r>
  <r>
    <x v="409"/>
    <x v="36"/>
    <x v="1"/>
    <x v="1"/>
    <x v="130"/>
    <x v="189"/>
    <x v="230"/>
    <x v="54"/>
    <x v="39"/>
    <x v="64"/>
    <x v="0"/>
    <x v="0"/>
    <x v="0"/>
    <x v="0"/>
    <x v="0"/>
    <x v="0"/>
    <x v="0"/>
  </r>
  <r>
    <x v="377"/>
    <x v="36"/>
    <x v="0"/>
    <x v="2"/>
    <x v="230"/>
    <x v="183"/>
    <x v="269"/>
    <x v="368"/>
    <x v="317"/>
    <x v="429"/>
    <x v="0"/>
    <x v="0"/>
    <x v="0"/>
    <x v="0"/>
    <x v="0"/>
    <x v="0"/>
    <x v="0"/>
  </r>
  <r>
    <x v="222"/>
    <x v="36"/>
    <x v="2"/>
    <x v="0"/>
    <x v="114"/>
    <x v="84"/>
    <x v="301"/>
    <x v="258"/>
    <x v="141"/>
    <x v="178"/>
    <x v="0"/>
    <x v="0"/>
    <x v="0"/>
    <x v="0"/>
    <x v="0"/>
    <x v="0"/>
    <x v="0"/>
  </r>
  <r>
    <x v="289"/>
    <x v="36"/>
    <x v="4"/>
    <x v="3"/>
    <x v="81"/>
    <x v="120"/>
    <x v="61"/>
    <x v="6"/>
    <x v="50"/>
    <x v="140"/>
    <x v="0"/>
    <x v="0"/>
    <x v="0"/>
    <x v="0"/>
    <x v="0"/>
    <x v="0"/>
    <x v="0"/>
  </r>
  <r>
    <x v="240"/>
    <x v="37"/>
    <x v="2"/>
    <x v="3"/>
    <x v="468"/>
    <x v="409"/>
    <x v="372"/>
    <x v="157"/>
    <x v="124"/>
    <x v="118"/>
    <x v="0"/>
    <x v="0"/>
    <x v="0"/>
    <x v="0"/>
    <x v="0"/>
    <x v="0"/>
    <x v="0"/>
  </r>
  <r>
    <x v="29"/>
    <x v="38"/>
    <x v="1"/>
    <x v="2"/>
    <x v="310"/>
    <x v="387"/>
    <x v="85"/>
    <x v="140"/>
    <x v="172"/>
    <x v="280"/>
    <x v="0"/>
    <x v="0"/>
    <x v="0"/>
    <x v="0"/>
    <x v="0"/>
    <x v="0"/>
    <x v="0"/>
  </r>
  <r>
    <x v="444"/>
    <x v="38"/>
    <x v="3"/>
    <x v="0"/>
    <x v="103"/>
    <x v="162"/>
    <x v="413"/>
    <x v="398"/>
    <x v="29"/>
    <x v="96"/>
    <x v="0"/>
    <x v="0"/>
    <x v="0"/>
    <x v="0"/>
    <x v="0"/>
    <x v="0"/>
    <x v="0"/>
  </r>
  <r>
    <x v="128"/>
    <x v="39"/>
    <x v="3"/>
    <x v="3"/>
    <x v="362"/>
    <x v="422"/>
    <x v="113"/>
    <x v="291"/>
    <x v="118"/>
    <x v="158"/>
    <x v="0"/>
    <x v="0"/>
    <x v="0"/>
    <x v="0"/>
    <x v="0"/>
    <x v="0"/>
    <x v="0"/>
  </r>
  <r>
    <x v="196"/>
    <x v="39"/>
    <x v="1"/>
    <x v="1"/>
    <x v="50"/>
    <x v="30"/>
    <x v="333"/>
    <x v="39"/>
    <x v="120"/>
    <x v="129"/>
    <x v="0"/>
    <x v="0"/>
    <x v="0"/>
    <x v="0"/>
    <x v="0"/>
    <x v="0"/>
    <x v="0"/>
  </r>
  <r>
    <x v="237"/>
    <x v="39"/>
    <x v="4"/>
    <x v="1"/>
    <x v="280"/>
    <x v="292"/>
    <x v="188"/>
    <x v="181"/>
    <x v="92"/>
    <x v="147"/>
    <x v="0"/>
    <x v="0"/>
    <x v="0"/>
    <x v="0"/>
    <x v="0"/>
    <x v="0"/>
    <x v="0"/>
  </r>
  <r>
    <x v="488"/>
    <x v="39"/>
    <x v="4"/>
    <x v="1"/>
    <x v="498"/>
    <x v="403"/>
    <x v="161"/>
    <x v="338"/>
    <x v="128"/>
    <x v="299"/>
    <x v="0"/>
    <x v="0"/>
    <x v="0"/>
    <x v="0"/>
    <x v="0"/>
    <x v="0"/>
    <x v="0"/>
  </r>
  <r>
    <x v="452"/>
    <x v="40"/>
    <x v="4"/>
    <x v="1"/>
    <x v="453"/>
    <x v="433"/>
    <x v="152"/>
    <x v="31"/>
    <x v="67"/>
    <x v="92"/>
    <x v="0"/>
    <x v="0"/>
    <x v="0"/>
    <x v="0"/>
    <x v="0"/>
    <x v="0"/>
    <x v="0"/>
  </r>
  <r>
    <x v="423"/>
    <x v="41"/>
    <x v="1"/>
    <x v="3"/>
    <x v="137"/>
    <x v="165"/>
    <x v="432"/>
    <x v="394"/>
    <x v="322"/>
    <x v="485"/>
    <x v="0"/>
    <x v="0"/>
    <x v="0"/>
    <x v="0"/>
    <x v="0"/>
    <x v="0"/>
    <x v="0"/>
  </r>
  <r>
    <x v="454"/>
    <x v="41"/>
    <x v="2"/>
    <x v="3"/>
    <x v="297"/>
    <x v="333"/>
    <x v="54"/>
    <x v="243"/>
    <x v="282"/>
    <x v="445"/>
    <x v="0"/>
    <x v="0"/>
    <x v="0"/>
    <x v="0"/>
    <x v="0"/>
    <x v="0"/>
    <x v="0"/>
  </r>
  <r>
    <x v="53"/>
    <x v="41"/>
    <x v="4"/>
    <x v="0"/>
    <x v="358"/>
    <x v="338"/>
    <x v="198"/>
    <x v="165"/>
    <x v="60"/>
    <x v="122"/>
    <x v="0"/>
    <x v="0"/>
    <x v="0"/>
    <x v="0"/>
    <x v="0"/>
    <x v="0"/>
    <x v="0"/>
  </r>
  <r>
    <x v="280"/>
    <x v="41"/>
    <x v="4"/>
    <x v="2"/>
    <x v="3"/>
    <x v="14"/>
    <x v="403"/>
    <x v="446"/>
    <x v="343"/>
    <x v="457"/>
    <x v="0"/>
    <x v="0"/>
    <x v="0"/>
    <x v="0"/>
    <x v="0"/>
    <x v="0"/>
    <x v="0"/>
  </r>
  <r>
    <x v="475"/>
    <x v="41"/>
    <x v="2"/>
    <x v="1"/>
    <x v="478"/>
    <x v="376"/>
    <x v="418"/>
    <x v="454"/>
    <x v="331"/>
    <x v="492"/>
    <x v="0"/>
    <x v="0"/>
    <x v="0"/>
    <x v="0"/>
    <x v="0"/>
    <x v="0"/>
    <x v="0"/>
  </r>
  <r>
    <x v="55"/>
    <x v="42"/>
    <x v="3"/>
    <x v="0"/>
    <x v="416"/>
    <x v="384"/>
    <x v="109"/>
    <x v="144"/>
    <x v="164"/>
    <x v="208"/>
    <x v="0"/>
    <x v="0"/>
    <x v="0"/>
    <x v="0"/>
    <x v="0"/>
    <x v="0"/>
    <x v="0"/>
  </r>
  <r>
    <x v="476"/>
    <x v="42"/>
    <x v="0"/>
    <x v="3"/>
    <x v="311"/>
    <x v="383"/>
    <x v="342"/>
    <x v="190"/>
    <x v="17"/>
    <x v="33"/>
    <x v="0"/>
    <x v="0"/>
    <x v="0"/>
    <x v="0"/>
    <x v="0"/>
    <x v="0"/>
    <x v="0"/>
  </r>
  <r>
    <x v="318"/>
    <x v="43"/>
    <x v="3"/>
    <x v="0"/>
    <x v="196"/>
    <x v="193"/>
    <x v="132"/>
    <x v="85"/>
    <x v="26"/>
    <x v="44"/>
    <x v="0"/>
    <x v="0"/>
    <x v="0"/>
    <x v="0"/>
    <x v="0"/>
    <x v="0"/>
    <x v="0"/>
  </r>
  <r>
    <x v="313"/>
    <x v="43"/>
    <x v="2"/>
    <x v="1"/>
    <x v="271"/>
    <x v="247"/>
    <x v="0"/>
    <x v="74"/>
    <x v="163"/>
    <x v="285"/>
    <x v="0"/>
    <x v="0"/>
    <x v="0"/>
    <x v="0"/>
    <x v="0"/>
    <x v="0"/>
    <x v="0"/>
  </r>
  <r>
    <x v="134"/>
    <x v="43"/>
    <x v="2"/>
    <x v="0"/>
    <x v="236"/>
    <x v="298"/>
    <x v="484"/>
    <x v="477"/>
    <x v="198"/>
    <x v="282"/>
    <x v="0"/>
    <x v="0"/>
    <x v="0"/>
    <x v="0"/>
    <x v="0"/>
    <x v="0"/>
    <x v="0"/>
  </r>
  <r>
    <x v="336"/>
    <x v="43"/>
    <x v="1"/>
    <x v="3"/>
    <x v="120"/>
    <x v="112"/>
    <x v="57"/>
    <x v="29"/>
    <x v="42"/>
    <x v="42"/>
    <x v="0"/>
    <x v="0"/>
    <x v="0"/>
    <x v="0"/>
    <x v="0"/>
    <x v="0"/>
    <x v="0"/>
  </r>
  <r>
    <x v="355"/>
    <x v="43"/>
    <x v="4"/>
    <x v="1"/>
    <x v="364"/>
    <x v="316"/>
    <x v="456"/>
    <x v="265"/>
    <x v="223"/>
    <x v="258"/>
    <x v="0"/>
    <x v="0"/>
    <x v="0"/>
    <x v="0"/>
    <x v="0"/>
    <x v="0"/>
    <x v="0"/>
  </r>
  <r>
    <x v="469"/>
    <x v="44"/>
    <x v="1"/>
    <x v="0"/>
    <x v="400"/>
    <x v="420"/>
    <x v="78"/>
    <x v="150"/>
    <x v="74"/>
    <x v="188"/>
    <x v="0"/>
    <x v="0"/>
    <x v="0"/>
    <x v="0"/>
    <x v="0"/>
    <x v="0"/>
    <x v="0"/>
  </r>
  <r>
    <x v="363"/>
    <x v="44"/>
    <x v="1"/>
    <x v="3"/>
    <x v="106"/>
    <x v="156"/>
    <x v="385"/>
    <x v="345"/>
    <x v="118"/>
    <x v="244"/>
    <x v="0"/>
    <x v="0"/>
    <x v="0"/>
    <x v="0"/>
    <x v="0"/>
    <x v="0"/>
    <x v="0"/>
  </r>
  <r>
    <x v="456"/>
    <x v="44"/>
    <x v="3"/>
    <x v="3"/>
    <x v="79"/>
    <x v="59"/>
    <x v="477"/>
    <x v="475"/>
    <x v="344"/>
    <x v="497"/>
    <x v="0"/>
    <x v="0"/>
    <x v="0"/>
    <x v="0"/>
    <x v="0"/>
    <x v="0"/>
    <x v="0"/>
  </r>
  <r>
    <x v="316"/>
    <x v="44"/>
    <x v="3"/>
    <x v="2"/>
    <x v="436"/>
    <x v="447"/>
    <x v="59"/>
    <x v="223"/>
    <x v="95"/>
    <x v="194"/>
    <x v="0"/>
    <x v="0"/>
    <x v="0"/>
    <x v="0"/>
    <x v="0"/>
    <x v="0"/>
    <x v="0"/>
  </r>
  <r>
    <x v="410"/>
    <x v="45"/>
    <x v="0"/>
    <x v="0"/>
    <x v="447"/>
    <x v="399"/>
    <x v="216"/>
    <x v="245"/>
    <x v="149"/>
    <x v="192"/>
    <x v="0"/>
    <x v="0"/>
    <x v="0"/>
    <x v="0"/>
    <x v="0"/>
    <x v="0"/>
    <x v="0"/>
  </r>
  <r>
    <x v="450"/>
    <x v="45"/>
    <x v="4"/>
    <x v="2"/>
    <x v="429"/>
    <x v="439"/>
    <x v="338"/>
    <x v="374"/>
    <x v="37"/>
    <x v="65"/>
    <x v="0"/>
    <x v="0"/>
    <x v="0"/>
    <x v="0"/>
    <x v="0"/>
    <x v="0"/>
    <x v="0"/>
  </r>
  <r>
    <x v="67"/>
    <x v="45"/>
    <x v="0"/>
    <x v="2"/>
    <x v="31"/>
    <x v="12"/>
    <x v="380"/>
    <x v="334"/>
    <x v="301"/>
    <x v="472"/>
    <x v="0"/>
    <x v="0"/>
    <x v="0"/>
    <x v="0"/>
    <x v="0"/>
    <x v="0"/>
    <x v="0"/>
  </r>
  <r>
    <x v="323"/>
    <x v="46"/>
    <x v="0"/>
    <x v="3"/>
    <x v="221"/>
    <x v="252"/>
    <x v="444"/>
    <x v="466"/>
    <x v="76"/>
    <x v="203"/>
    <x v="0"/>
    <x v="0"/>
    <x v="0"/>
    <x v="0"/>
    <x v="0"/>
    <x v="0"/>
    <x v="0"/>
  </r>
  <r>
    <x v="419"/>
    <x v="46"/>
    <x v="3"/>
    <x v="1"/>
    <x v="226"/>
    <x v="176"/>
    <x v="316"/>
    <x v="422"/>
    <x v="234"/>
    <x v="379"/>
    <x v="0"/>
    <x v="0"/>
    <x v="0"/>
    <x v="0"/>
    <x v="0"/>
    <x v="0"/>
    <x v="0"/>
  </r>
  <r>
    <x v="217"/>
    <x v="47"/>
    <x v="4"/>
    <x v="3"/>
    <x v="252"/>
    <x v="277"/>
    <x v="394"/>
    <x v="409"/>
    <x v="327"/>
    <x v="484"/>
    <x v="0"/>
    <x v="0"/>
    <x v="0"/>
    <x v="0"/>
    <x v="0"/>
    <x v="0"/>
    <x v="0"/>
  </r>
  <r>
    <x v="417"/>
    <x v="48"/>
    <x v="2"/>
    <x v="2"/>
    <x v="223"/>
    <x v="181"/>
    <x v="122"/>
    <x v="65"/>
    <x v="82"/>
    <x v="87"/>
    <x v="0"/>
    <x v="0"/>
    <x v="0"/>
    <x v="0"/>
    <x v="0"/>
    <x v="0"/>
    <x v="0"/>
  </r>
  <r>
    <x v="33"/>
    <x v="48"/>
    <x v="3"/>
    <x v="2"/>
    <x v="40"/>
    <x v="11"/>
    <x v="458"/>
    <x v="460"/>
    <x v="349"/>
    <x v="496"/>
    <x v="0"/>
    <x v="0"/>
    <x v="0"/>
    <x v="0"/>
    <x v="0"/>
    <x v="0"/>
    <x v="0"/>
  </r>
  <r>
    <x v="489"/>
    <x v="48"/>
    <x v="3"/>
    <x v="2"/>
    <x v="194"/>
    <x v="246"/>
    <x v="392"/>
    <x v="416"/>
    <x v="175"/>
    <x v="346"/>
    <x v="0"/>
    <x v="0"/>
    <x v="0"/>
    <x v="0"/>
    <x v="0"/>
    <x v="0"/>
    <x v="0"/>
  </r>
  <r>
    <x v="103"/>
    <x v="48"/>
    <x v="3"/>
    <x v="0"/>
    <x v="129"/>
    <x v="123"/>
    <x v="345"/>
    <x v="351"/>
    <x v="266"/>
    <x v="311"/>
    <x v="0"/>
    <x v="0"/>
    <x v="0"/>
    <x v="0"/>
    <x v="0"/>
    <x v="0"/>
    <x v="0"/>
  </r>
  <r>
    <x v="8"/>
    <x v="48"/>
    <x v="4"/>
    <x v="3"/>
    <x v="217"/>
    <x v="260"/>
    <x v="13"/>
    <x v="126"/>
    <x v="167"/>
    <x v="220"/>
    <x v="0"/>
    <x v="0"/>
    <x v="0"/>
    <x v="0"/>
    <x v="0"/>
    <x v="0"/>
    <x v="0"/>
  </r>
  <r>
    <x v="242"/>
    <x v="49"/>
    <x v="3"/>
    <x v="2"/>
    <x v="57"/>
    <x v="92"/>
    <x v="70"/>
    <x v="113"/>
    <x v="18"/>
    <x v="12"/>
    <x v="0"/>
    <x v="0"/>
    <x v="0"/>
    <x v="0"/>
    <x v="0"/>
    <x v="0"/>
    <x v="0"/>
  </r>
  <r>
    <x v="15"/>
    <x v="49"/>
    <x v="1"/>
    <x v="3"/>
    <x v="319"/>
    <x v="295"/>
    <x v="32"/>
    <x v="40"/>
    <x v="69"/>
    <x v="121"/>
    <x v="0"/>
    <x v="0"/>
    <x v="0"/>
    <x v="0"/>
    <x v="0"/>
    <x v="0"/>
    <x v="0"/>
  </r>
  <r>
    <x v="151"/>
    <x v="49"/>
    <x v="0"/>
    <x v="3"/>
    <x v="455"/>
    <x v="374"/>
    <x v="397"/>
    <x v="435"/>
    <x v="54"/>
    <x v="99"/>
    <x v="0"/>
    <x v="0"/>
    <x v="0"/>
    <x v="0"/>
    <x v="0"/>
    <x v="0"/>
    <x v="0"/>
  </r>
  <r>
    <x v="251"/>
    <x v="50"/>
    <x v="4"/>
    <x v="1"/>
    <x v="151"/>
    <x v="113"/>
    <x v="307"/>
    <x v="203"/>
    <x v="117"/>
    <x v="263"/>
    <x v="0"/>
    <x v="0"/>
    <x v="0"/>
    <x v="0"/>
    <x v="0"/>
    <x v="0"/>
    <x v="0"/>
  </r>
  <r>
    <x v="371"/>
    <x v="50"/>
    <x v="2"/>
    <x v="1"/>
    <x v="251"/>
    <x v="278"/>
    <x v="26"/>
    <x v="124"/>
    <x v="107"/>
    <x v="209"/>
    <x v="0"/>
    <x v="0"/>
    <x v="0"/>
    <x v="0"/>
    <x v="0"/>
    <x v="0"/>
    <x v="0"/>
  </r>
  <r>
    <x v="380"/>
    <x v="51"/>
    <x v="4"/>
    <x v="1"/>
    <x v="412"/>
    <x v="386"/>
    <x v="386"/>
    <x v="251"/>
    <x v="228"/>
    <x v="388"/>
    <x v="0"/>
    <x v="0"/>
    <x v="0"/>
    <x v="0"/>
    <x v="0"/>
    <x v="0"/>
    <x v="0"/>
  </r>
  <r>
    <x v="369"/>
    <x v="51"/>
    <x v="1"/>
    <x v="0"/>
    <x v="373"/>
    <x v="418"/>
    <x v="181"/>
    <x v="182"/>
    <x v="194"/>
    <x v="242"/>
    <x v="0"/>
    <x v="0"/>
    <x v="0"/>
    <x v="0"/>
    <x v="0"/>
    <x v="0"/>
    <x v="0"/>
  </r>
  <r>
    <x v="285"/>
    <x v="51"/>
    <x v="2"/>
    <x v="0"/>
    <x v="86"/>
    <x v="45"/>
    <x v="106"/>
    <x v="21"/>
    <x v="113"/>
    <x v="201"/>
    <x v="0"/>
    <x v="0"/>
    <x v="0"/>
    <x v="0"/>
    <x v="0"/>
    <x v="0"/>
    <x v="0"/>
  </r>
  <r>
    <x v="48"/>
    <x v="51"/>
    <x v="0"/>
    <x v="1"/>
    <x v="133"/>
    <x v="88"/>
    <x v="35"/>
    <x v="224"/>
    <x v="248"/>
    <x v="398"/>
    <x v="0"/>
    <x v="0"/>
    <x v="0"/>
    <x v="0"/>
    <x v="0"/>
    <x v="0"/>
    <x v="0"/>
  </r>
  <r>
    <x v="85"/>
    <x v="51"/>
    <x v="1"/>
    <x v="1"/>
    <x v="263"/>
    <x v="344"/>
    <x v="309"/>
    <x v="75"/>
    <x v="49"/>
    <x v="111"/>
    <x v="0"/>
    <x v="0"/>
    <x v="0"/>
    <x v="0"/>
    <x v="0"/>
    <x v="0"/>
    <x v="0"/>
  </r>
  <r>
    <x v="359"/>
    <x v="51"/>
    <x v="2"/>
    <x v="2"/>
    <x v="327"/>
    <x v="289"/>
    <x v="285"/>
    <x v="256"/>
    <x v="60"/>
    <x v="168"/>
    <x v="0"/>
    <x v="0"/>
    <x v="0"/>
    <x v="0"/>
    <x v="0"/>
    <x v="0"/>
    <x v="0"/>
  </r>
  <r>
    <x v="365"/>
    <x v="52"/>
    <x v="4"/>
    <x v="3"/>
    <x v="76"/>
    <x v="55"/>
    <x v="100"/>
    <x v="47"/>
    <x v="125"/>
    <x v="145"/>
    <x v="0"/>
    <x v="0"/>
    <x v="0"/>
    <x v="0"/>
    <x v="0"/>
    <x v="0"/>
    <x v="0"/>
  </r>
  <r>
    <x v="256"/>
    <x v="53"/>
    <x v="2"/>
    <x v="2"/>
    <x v="156"/>
    <x v="206"/>
    <x v="472"/>
    <x v="326"/>
    <x v="291"/>
    <x v="359"/>
    <x v="0"/>
    <x v="0"/>
    <x v="0"/>
    <x v="0"/>
    <x v="0"/>
    <x v="0"/>
    <x v="0"/>
  </r>
  <r>
    <x v="330"/>
    <x v="53"/>
    <x v="1"/>
    <x v="2"/>
    <x v="399"/>
    <x v="435"/>
    <x v="341"/>
    <x v="415"/>
    <x v="278"/>
    <x v="383"/>
    <x v="0"/>
    <x v="0"/>
    <x v="0"/>
    <x v="0"/>
    <x v="0"/>
    <x v="0"/>
    <x v="0"/>
  </r>
  <r>
    <x v="486"/>
    <x v="53"/>
    <x v="2"/>
    <x v="1"/>
    <x v="96"/>
    <x v="115"/>
    <x v="329"/>
    <x v="400"/>
    <x v="294"/>
    <x v="422"/>
    <x v="0"/>
    <x v="0"/>
    <x v="0"/>
    <x v="0"/>
    <x v="0"/>
    <x v="0"/>
    <x v="0"/>
  </r>
  <r>
    <x v="180"/>
    <x v="54"/>
    <x v="2"/>
    <x v="1"/>
    <x v="473"/>
    <x v="477"/>
    <x v="79"/>
    <x v="51"/>
    <x v="73"/>
    <x v="89"/>
    <x v="0"/>
    <x v="0"/>
    <x v="0"/>
    <x v="0"/>
    <x v="0"/>
    <x v="0"/>
    <x v="0"/>
  </r>
  <r>
    <x v="405"/>
    <x v="54"/>
    <x v="4"/>
    <x v="0"/>
    <x v="99"/>
    <x v="61"/>
    <x v="40"/>
    <x v="122"/>
    <x v="185"/>
    <x v="339"/>
    <x v="0"/>
    <x v="0"/>
    <x v="0"/>
    <x v="0"/>
    <x v="0"/>
    <x v="0"/>
    <x v="0"/>
  </r>
  <r>
    <x v="430"/>
    <x v="55"/>
    <x v="4"/>
    <x v="2"/>
    <x v="190"/>
    <x v="138"/>
    <x v="168"/>
    <x v="34"/>
    <x v="5"/>
    <x v="20"/>
    <x v="0"/>
    <x v="0"/>
    <x v="0"/>
    <x v="0"/>
    <x v="0"/>
    <x v="0"/>
    <x v="0"/>
  </r>
  <r>
    <x v="118"/>
    <x v="55"/>
    <x v="3"/>
    <x v="0"/>
    <x v="27"/>
    <x v="39"/>
    <x v="340"/>
    <x v="410"/>
    <x v="296"/>
    <x v="347"/>
    <x v="0"/>
    <x v="0"/>
    <x v="0"/>
    <x v="0"/>
    <x v="0"/>
    <x v="0"/>
    <x v="0"/>
  </r>
  <r>
    <x v="390"/>
    <x v="55"/>
    <x v="1"/>
    <x v="3"/>
    <x v="291"/>
    <x v="393"/>
    <x v="306"/>
    <x v="212"/>
    <x v="177"/>
    <x v="316"/>
    <x v="0"/>
    <x v="0"/>
    <x v="0"/>
    <x v="0"/>
    <x v="0"/>
    <x v="0"/>
    <x v="0"/>
  </r>
  <r>
    <x v="69"/>
    <x v="56"/>
    <x v="0"/>
    <x v="3"/>
    <x v="320"/>
    <x v="239"/>
    <x v="465"/>
    <x v="329"/>
    <x v="22"/>
    <x v="13"/>
    <x v="0"/>
    <x v="0"/>
    <x v="0"/>
    <x v="0"/>
    <x v="0"/>
    <x v="0"/>
    <x v="0"/>
  </r>
  <r>
    <x v="372"/>
    <x v="56"/>
    <x v="0"/>
    <x v="2"/>
    <x v="34"/>
    <x v="72"/>
    <x v="275"/>
    <x v="427"/>
    <x v="345"/>
    <x v="471"/>
    <x v="0"/>
    <x v="0"/>
    <x v="0"/>
    <x v="0"/>
    <x v="0"/>
    <x v="0"/>
    <x v="0"/>
  </r>
  <r>
    <x v="163"/>
    <x v="56"/>
    <x v="3"/>
    <x v="3"/>
    <x v="444"/>
    <x v="434"/>
    <x v="8"/>
    <x v="90"/>
    <x v="142"/>
    <x v="271"/>
    <x v="0"/>
    <x v="0"/>
    <x v="0"/>
    <x v="0"/>
    <x v="0"/>
    <x v="0"/>
    <x v="0"/>
  </r>
  <r>
    <x v="100"/>
    <x v="56"/>
    <x v="1"/>
    <x v="0"/>
    <x v="20"/>
    <x v="24"/>
    <x v="328"/>
    <x v="353"/>
    <x v="145"/>
    <x v="260"/>
    <x v="0"/>
    <x v="0"/>
    <x v="0"/>
    <x v="0"/>
    <x v="0"/>
    <x v="0"/>
    <x v="0"/>
  </r>
  <r>
    <x v="127"/>
    <x v="56"/>
    <x v="3"/>
    <x v="1"/>
    <x v="340"/>
    <x v="375"/>
    <x v="266"/>
    <x v="402"/>
    <x v="242"/>
    <x v="421"/>
    <x v="0"/>
    <x v="0"/>
    <x v="0"/>
    <x v="0"/>
    <x v="0"/>
    <x v="0"/>
    <x v="0"/>
  </r>
  <r>
    <x v="494"/>
    <x v="56"/>
    <x v="3"/>
    <x v="1"/>
    <x v="256"/>
    <x v="194"/>
    <x v="84"/>
    <x v="148"/>
    <x v="80"/>
    <x v="113"/>
    <x v="0"/>
    <x v="0"/>
    <x v="0"/>
    <x v="0"/>
    <x v="0"/>
    <x v="0"/>
    <x v="0"/>
  </r>
  <r>
    <x v="496"/>
    <x v="57"/>
    <x v="2"/>
    <x v="1"/>
    <x v="186"/>
    <x v="186"/>
    <x v="347"/>
    <x v="196"/>
    <x v="181"/>
    <x v="248"/>
    <x v="0"/>
    <x v="0"/>
    <x v="0"/>
    <x v="0"/>
    <x v="0"/>
    <x v="0"/>
    <x v="0"/>
  </r>
  <r>
    <x v="383"/>
    <x v="57"/>
    <x v="0"/>
    <x v="1"/>
    <x v="430"/>
    <x v="461"/>
    <x v="408"/>
    <x v="384"/>
    <x v="238"/>
    <x v="409"/>
    <x v="0"/>
    <x v="0"/>
    <x v="0"/>
    <x v="0"/>
    <x v="0"/>
    <x v="0"/>
    <x v="0"/>
  </r>
  <r>
    <x v="147"/>
    <x v="58"/>
    <x v="3"/>
    <x v="1"/>
    <x v="489"/>
    <x v="452"/>
    <x v="268"/>
    <x v="226"/>
    <x v="74"/>
    <x v="110"/>
    <x v="0"/>
    <x v="0"/>
    <x v="0"/>
    <x v="0"/>
    <x v="0"/>
    <x v="0"/>
    <x v="0"/>
  </r>
  <r>
    <x v="36"/>
    <x v="59"/>
    <x v="0"/>
    <x v="1"/>
    <x v="104"/>
    <x v="65"/>
    <x v="108"/>
    <x v="87"/>
    <x v="110"/>
    <x v="152"/>
    <x v="0"/>
    <x v="0"/>
    <x v="0"/>
    <x v="0"/>
    <x v="0"/>
    <x v="0"/>
    <x v="0"/>
  </r>
  <r>
    <x v="40"/>
    <x v="59"/>
    <x v="2"/>
    <x v="3"/>
    <x v="402"/>
    <x v="467"/>
    <x v="425"/>
    <x v="200"/>
    <x v="101"/>
    <x v="141"/>
    <x v="0"/>
    <x v="0"/>
    <x v="0"/>
    <x v="0"/>
    <x v="0"/>
    <x v="0"/>
    <x v="0"/>
  </r>
  <r>
    <x v="245"/>
    <x v="59"/>
    <x v="1"/>
    <x v="3"/>
    <x v="438"/>
    <x v="419"/>
    <x v="291"/>
    <x v="174"/>
    <x v="244"/>
    <x v="418"/>
    <x v="0"/>
    <x v="0"/>
    <x v="0"/>
    <x v="0"/>
    <x v="0"/>
    <x v="0"/>
    <x v="0"/>
  </r>
  <r>
    <x v="82"/>
    <x v="59"/>
    <x v="3"/>
    <x v="3"/>
    <x v="200"/>
    <x v="273"/>
    <x v="297"/>
    <x v="300"/>
    <x v="229"/>
    <x v="420"/>
    <x v="0"/>
    <x v="0"/>
    <x v="0"/>
    <x v="0"/>
    <x v="0"/>
    <x v="0"/>
    <x v="0"/>
  </r>
  <r>
    <x v="296"/>
    <x v="60"/>
    <x v="3"/>
    <x v="1"/>
    <x v="38"/>
    <x v="25"/>
    <x v="160"/>
    <x v="360"/>
    <x v="34"/>
    <x v="85"/>
    <x v="0"/>
    <x v="0"/>
    <x v="0"/>
    <x v="0"/>
    <x v="0"/>
    <x v="0"/>
    <x v="0"/>
  </r>
  <r>
    <x v="182"/>
    <x v="60"/>
    <x v="4"/>
    <x v="3"/>
    <x v="42"/>
    <x v="67"/>
    <x v="243"/>
    <x v="348"/>
    <x v="89"/>
    <x v="159"/>
    <x v="0"/>
    <x v="0"/>
    <x v="0"/>
    <x v="0"/>
    <x v="0"/>
    <x v="0"/>
    <x v="0"/>
  </r>
  <r>
    <x v="262"/>
    <x v="60"/>
    <x v="2"/>
    <x v="1"/>
    <x v="274"/>
    <x v="271"/>
    <x v="391"/>
    <x v="99"/>
    <x v="123"/>
    <x v="211"/>
    <x v="0"/>
    <x v="0"/>
    <x v="0"/>
    <x v="0"/>
    <x v="0"/>
    <x v="0"/>
    <x v="0"/>
  </r>
  <r>
    <x v="235"/>
    <x v="60"/>
    <x v="4"/>
    <x v="1"/>
    <x v="493"/>
    <x v="445"/>
    <x v="111"/>
    <x v="287"/>
    <x v="224"/>
    <x v="396"/>
    <x v="0"/>
    <x v="0"/>
    <x v="0"/>
    <x v="0"/>
    <x v="0"/>
    <x v="0"/>
    <x v="0"/>
  </r>
  <r>
    <x v="24"/>
    <x v="61"/>
    <x v="4"/>
    <x v="0"/>
    <x v="0"/>
    <x v="18"/>
    <x v="223"/>
    <x v="71"/>
    <x v="15"/>
    <x v="46"/>
    <x v="0"/>
    <x v="0"/>
    <x v="0"/>
    <x v="0"/>
    <x v="0"/>
    <x v="0"/>
    <x v="0"/>
  </r>
  <r>
    <x v="190"/>
    <x v="61"/>
    <x v="3"/>
    <x v="0"/>
    <x v="240"/>
    <x v="297"/>
    <x v="201"/>
    <x v="253"/>
    <x v="6"/>
    <x v="11"/>
    <x v="0"/>
    <x v="0"/>
    <x v="0"/>
    <x v="0"/>
    <x v="0"/>
    <x v="0"/>
    <x v="0"/>
  </r>
  <r>
    <x v="227"/>
    <x v="61"/>
    <x v="3"/>
    <x v="0"/>
    <x v="123"/>
    <x v="90"/>
    <x v="125"/>
    <x v="37"/>
    <x v="70"/>
    <x v="142"/>
    <x v="0"/>
    <x v="0"/>
    <x v="0"/>
    <x v="0"/>
    <x v="0"/>
    <x v="0"/>
    <x v="0"/>
  </r>
  <r>
    <x v="56"/>
    <x v="62"/>
    <x v="0"/>
    <x v="1"/>
    <x v="15"/>
    <x v="21"/>
    <x v="358"/>
    <x v="170"/>
    <x v="213"/>
    <x v="369"/>
    <x v="0"/>
    <x v="0"/>
    <x v="0"/>
    <x v="0"/>
    <x v="0"/>
    <x v="0"/>
    <x v="0"/>
  </r>
  <r>
    <x v="401"/>
    <x v="63"/>
    <x v="3"/>
    <x v="0"/>
    <x v="145"/>
    <x v="155"/>
    <x v="2"/>
    <x v="69"/>
    <x v="170"/>
    <x v="330"/>
    <x v="0"/>
    <x v="0"/>
    <x v="0"/>
    <x v="0"/>
    <x v="0"/>
    <x v="0"/>
    <x v="0"/>
  </r>
  <r>
    <x v="279"/>
    <x v="64"/>
    <x v="1"/>
    <x v="2"/>
    <x v="168"/>
    <x v="190"/>
    <x v="162"/>
    <x v="347"/>
    <x v="295"/>
    <x v="446"/>
    <x v="0"/>
    <x v="0"/>
    <x v="0"/>
    <x v="0"/>
    <x v="0"/>
    <x v="0"/>
    <x v="0"/>
  </r>
  <r>
    <x v="81"/>
    <x v="64"/>
    <x v="1"/>
    <x v="3"/>
    <x v="172"/>
    <x v="114"/>
    <x v="304"/>
    <x v="312"/>
    <x v="313"/>
    <x v="483"/>
    <x v="0"/>
    <x v="0"/>
    <x v="0"/>
    <x v="0"/>
    <x v="0"/>
    <x v="0"/>
    <x v="0"/>
  </r>
  <r>
    <x v="219"/>
    <x v="65"/>
    <x v="2"/>
    <x v="0"/>
    <x v="169"/>
    <x v="195"/>
    <x v="203"/>
    <x v="30"/>
    <x v="102"/>
    <x v="202"/>
    <x v="0"/>
    <x v="0"/>
    <x v="0"/>
    <x v="0"/>
    <x v="0"/>
    <x v="0"/>
    <x v="0"/>
  </r>
  <r>
    <x v="439"/>
    <x v="65"/>
    <x v="2"/>
    <x v="1"/>
    <x v="360"/>
    <x v="287"/>
    <x v="460"/>
    <x v="118"/>
    <x v="190"/>
    <x v="206"/>
    <x v="0"/>
    <x v="0"/>
    <x v="0"/>
    <x v="0"/>
    <x v="0"/>
    <x v="0"/>
    <x v="0"/>
  </r>
  <r>
    <x v="345"/>
    <x v="65"/>
    <x v="4"/>
    <x v="3"/>
    <x v="338"/>
    <x v="315"/>
    <x v="478"/>
    <x v="462"/>
    <x v="304"/>
    <x v="465"/>
    <x v="0"/>
    <x v="0"/>
    <x v="0"/>
    <x v="0"/>
    <x v="0"/>
    <x v="0"/>
    <x v="0"/>
  </r>
  <r>
    <x v="173"/>
    <x v="66"/>
    <x v="0"/>
    <x v="3"/>
    <x v="61"/>
    <x v="81"/>
    <x v="463"/>
    <x v="382"/>
    <x v="188"/>
    <x v="284"/>
    <x v="0"/>
    <x v="0"/>
    <x v="0"/>
    <x v="0"/>
    <x v="0"/>
    <x v="0"/>
    <x v="0"/>
  </r>
  <r>
    <x v="487"/>
    <x v="66"/>
    <x v="1"/>
    <x v="3"/>
    <x v="315"/>
    <x v="250"/>
    <x v="202"/>
    <x v="346"/>
    <x v="249"/>
    <x v="403"/>
    <x v="0"/>
    <x v="0"/>
    <x v="0"/>
    <x v="0"/>
    <x v="0"/>
    <x v="0"/>
    <x v="0"/>
  </r>
  <r>
    <x v="179"/>
    <x v="66"/>
    <x v="0"/>
    <x v="0"/>
    <x v="117"/>
    <x v="106"/>
    <x v="206"/>
    <x v="315"/>
    <x v="34"/>
    <x v="28"/>
    <x v="0"/>
    <x v="0"/>
    <x v="0"/>
    <x v="0"/>
    <x v="0"/>
    <x v="0"/>
    <x v="0"/>
  </r>
  <r>
    <x v="413"/>
    <x v="67"/>
    <x v="3"/>
    <x v="0"/>
    <x v="84"/>
    <x v="122"/>
    <x v="374"/>
    <x v="322"/>
    <x v="300"/>
    <x v="461"/>
    <x v="0"/>
    <x v="0"/>
    <x v="0"/>
    <x v="0"/>
    <x v="0"/>
    <x v="0"/>
    <x v="0"/>
  </r>
  <r>
    <x v="226"/>
    <x v="67"/>
    <x v="3"/>
    <x v="1"/>
    <x v="481"/>
    <x v="489"/>
    <x v="196"/>
    <x v="376"/>
    <x v="66"/>
    <x v="160"/>
    <x v="0"/>
    <x v="0"/>
    <x v="0"/>
    <x v="0"/>
    <x v="0"/>
    <x v="0"/>
    <x v="0"/>
  </r>
  <r>
    <x v="102"/>
    <x v="67"/>
    <x v="2"/>
    <x v="0"/>
    <x v="244"/>
    <x v="223"/>
    <x v="419"/>
    <x v="335"/>
    <x v="284"/>
    <x v="449"/>
    <x v="0"/>
    <x v="0"/>
    <x v="0"/>
    <x v="0"/>
    <x v="0"/>
    <x v="0"/>
    <x v="0"/>
  </r>
  <r>
    <x v="480"/>
    <x v="68"/>
    <x v="0"/>
    <x v="3"/>
    <x v="483"/>
    <x v="401"/>
    <x v="227"/>
    <x v="10"/>
    <x v="47"/>
    <x v="105"/>
    <x v="0"/>
    <x v="0"/>
    <x v="0"/>
    <x v="0"/>
    <x v="0"/>
    <x v="0"/>
    <x v="0"/>
  </r>
  <r>
    <x v="482"/>
    <x v="68"/>
    <x v="4"/>
    <x v="1"/>
    <x v="335"/>
    <x v="414"/>
    <x v="20"/>
    <x v="136"/>
    <x v="88"/>
    <x v="237"/>
    <x v="0"/>
    <x v="0"/>
    <x v="0"/>
    <x v="0"/>
    <x v="0"/>
    <x v="0"/>
    <x v="0"/>
  </r>
  <r>
    <x v="253"/>
    <x v="68"/>
    <x v="4"/>
    <x v="1"/>
    <x v="390"/>
    <x v="324"/>
    <x v="76"/>
    <x v="187"/>
    <x v="5"/>
    <x v="6"/>
    <x v="0"/>
    <x v="0"/>
    <x v="0"/>
    <x v="0"/>
    <x v="0"/>
    <x v="0"/>
    <x v="0"/>
  </r>
  <r>
    <x v="157"/>
    <x v="68"/>
    <x v="4"/>
    <x v="2"/>
    <x v="482"/>
    <x v="388"/>
    <x v="215"/>
    <x v="72"/>
    <x v="6"/>
    <x v="40"/>
    <x v="0"/>
    <x v="0"/>
    <x v="0"/>
    <x v="0"/>
    <x v="0"/>
    <x v="0"/>
    <x v="0"/>
  </r>
  <r>
    <x v="61"/>
    <x v="68"/>
    <x v="0"/>
    <x v="2"/>
    <x v="439"/>
    <x v="397"/>
    <x v="110"/>
    <x v="94"/>
    <x v="90"/>
    <x v="197"/>
    <x v="0"/>
    <x v="0"/>
    <x v="0"/>
    <x v="0"/>
    <x v="0"/>
    <x v="0"/>
    <x v="0"/>
  </r>
  <r>
    <x v="446"/>
    <x v="68"/>
    <x v="2"/>
    <x v="3"/>
    <x v="28"/>
    <x v="5"/>
    <x v="205"/>
    <x v="148"/>
    <x v="114"/>
    <x v="148"/>
    <x v="0"/>
    <x v="0"/>
    <x v="0"/>
    <x v="0"/>
    <x v="0"/>
    <x v="0"/>
    <x v="0"/>
  </r>
  <r>
    <x v="32"/>
    <x v="69"/>
    <x v="2"/>
    <x v="0"/>
    <x v="245"/>
    <x v="243"/>
    <x v="67"/>
    <x v="207"/>
    <x v="231"/>
    <x v="250"/>
    <x v="0"/>
    <x v="0"/>
    <x v="0"/>
    <x v="0"/>
    <x v="0"/>
    <x v="0"/>
    <x v="0"/>
  </r>
  <r>
    <x v="326"/>
    <x v="69"/>
    <x v="1"/>
    <x v="3"/>
    <x v="231"/>
    <x v="253"/>
    <x v="179"/>
    <x v="235"/>
    <x v="232"/>
    <x v="328"/>
    <x v="0"/>
    <x v="0"/>
    <x v="0"/>
    <x v="0"/>
    <x v="0"/>
    <x v="0"/>
    <x v="0"/>
  </r>
  <r>
    <x v="278"/>
    <x v="69"/>
    <x v="3"/>
    <x v="2"/>
    <x v="233"/>
    <x v="225"/>
    <x v="72"/>
    <x v="192"/>
    <x v="174"/>
    <x v="356"/>
    <x v="0"/>
    <x v="0"/>
    <x v="0"/>
    <x v="0"/>
    <x v="0"/>
    <x v="0"/>
    <x v="0"/>
  </r>
  <r>
    <x v="269"/>
    <x v="69"/>
    <x v="3"/>
    <x v="0"/>
    <x v="463"/>
    <x v="443"/>
    <x v="1"/>
    <x v="9"/>
    <x v="37"/>
    <x v="31"/>
    <x v="0"/>
    <x v="0"/>
    <x v="0"/>
    <x v="0"/>
    <x v="0"/>
    <x v="0"/>
    <x v="0"/>
  </r>
  <r>
    <x v="358"/>
    <x v="70"/>
    <x v="1"/>
    <x v="0"/>
    <x v="492"/>
    <x v="463"/>
    <x v="199"/>
    <x v="107"/>
    <x v="121"/>
    <x v="190"/>
    <x v="0"/>
    <x v="0"/>
    <x v="0"/>
    <x v="0"/>
    <x v="0"/>
    <x v="0"/>
    <x v="0"/>
  </r>
  <r>
    <x v="250"/>
    <x v="70"/>
    <x v="1"/>
    <x v="0"/>
    <x v="44"/>
    <x v="91"/>
    <x v="491"/>
    <x v="465"/>
    <x v="318"/>
    <x v="469"/>
    <x v="0"/>
    <x v="0"/>
    <x v="0"/>
    <x v="0"/>
    <x v="0"/>
    <x v="0"/>
    <x v="0"/>
  </r>
  <r>
    <x v="72"/>
    <x v="70"/>
    <x v="2"/>
    <x v="3"/>
    <x v="147"/>
    <x v="191"/>
    <x v="411"/>
    <x v="429"/>
    <x v="285"/>
    <x v="441"/>
    <x v="0"/>
    <x v="0"/>
    <x v="0"/>
    <x v="0"/>
    <x v="0"/>
    <x v="0"/>
    <x v="0"/>
  </r>
  <r>
    <x v="267"/>
    <x v="71"/>
    <x v="1"/>
    <x v="0"/>
    <x v="63"/>
    <x v="79"/>
    <x v="88"/>
    <x v="158"/>
    <x v="187"/>
    <x v="324"/>
    <x v="0"/>
    <x v="0"/>
    <x v="0"/>
    <x v="0"/>
    <x v="0"/>
    <x v="0"/>
    <x v="0"/>
  </r>
  <r>
    <x v="171"/>
    <x v="71"/>
    <x v="4"/>
    <x v="3"/>
    <x v="428"/>
    <x v="339"/>
    <x v="176"/>
    <x v="288"/>
    <x v="279"/>
    <x v="314"/>
    <x v="0"/>
    <x v="0"/>
    <x v="0"/>
    <x v="0"/>
    <x v="0"/>
    <x v="0"/>
    <x v="0"/>
  </r>
  <r>
    <x v="133"/>
    <x v="71"/>
    <x v="0"/>
    <x v="2"/>
    <x v="371"/>
    <x v="301"/>
    <x v="103"/>
    <x v="249"/>
    <x v="104"/>
    <x v="257"/>
    <x v="0"/>
    <x v="0"/>
    <x v="0"/>
    <x v="0"/>
    <x v="0"/>
    <x v="0"/>
    <x v="0"/>
  </r>
  <r>
    <x v="429"/>
    <x v="71"/>
    <x v="3"/>
    <x v="1"/>
    <x v="161"/>
    <x v="105"/>
    <x v="195"/>
    <x v="383"/>
    <x v="148"/>
    <x v="150"/>
    <x v="0"/>
    <x v="0"/>
    <x v="0"/>
    <x v="0"/>
    <x v="0"/>
    <x v="0"/>
    <x v="0"/>
  </r>
  <r>
    <x v="77"/>
    <x v="71"/>
    <x v="1"/>
    <x v="3"/>
    <x v="234"/>
    <x v="254"/>
    <x v="173"/>
    <x v="131"/>
    <x v="78"/>
    <x v="133"/>
    <x v="0"/>
    <x v="0"/>
    <x v="0"/>
    <x v="0"/>
    <x v="0"/>
    <x v="0"/>
    <x v="0"/>
  </r>
  <r>
    <x v="307"/>
    <x v="72"/>
    <x v="3"/>
    <x v="0"/>
    <x v="224"/>
    <x v="299"/>
    <x v="434"/>
    <x v="417"/>
    <x v="330"/>
    <x v="490"/>
    <x v="0"/>
    <x v="0"/>
    <x v="0"/>
    <x v="0"/>
    <x v="0"/>
    <x v="0"/>
    <x v="0"/>
  </r>
  <r>
    <x v="424"/>
    <x v="72"/>
    <x v="2"/>
    <x v="2"/>
    <x v="388"/>
    <x v="300"/>
    <x v="346"/>
    <x v="428"/>
    <x v="341"/>
    <x v="479"/>
    <x v="0"/>
    <x v="0"/>
    <x v="0"/>
    <x v="0"/>
    <x v="0"/>
    <x v="0"/>
    <x v="0"/>
  </r>
  <r>
    <x v="204"/>
    <x v="73"/>
    <x v="1"/>
    <x v="2"/>
    <x v="303"/>
    <x v="233"/>
    <x v="187"/>
    <x v="286"/>
    <x v="298"/>
    <x v="466"/>
    <x v="0"/>
    <x v="0"/>
    <x v="0"/>
    <x v="0"/>
    <x v="0"/>
    <x v="0"/>
    <x v="0"/>
  </r>
  <r>
    <x v="135"/>
    <x v="73"/>
    <x v="0"/>
    <x v="3"/>
    <x v="449"/>
    <x v="425"/>
    <x v="395"/>
    <x v="331"/>
    <x v="7"/>
    <x v="0"/>
    <x v="0"/>
    <x v="0"/>
    <x v="0"/>
    <x v="0"/>
    <x v="0"/>
    <x v="0"/>
    <x v="0"/>
  </r>
  <r>
    <x v="181"/>
    <x v="73"/>
    <x v="4"/>
    <x v="2"/>
    <x v="325"/>
    <x v="353"/>
    <x v="31"/>
    <x v="32"/>
    <x v="120"/>
    <x v="182"/>
    <x v="0"/>
    <x v="0"/>
    <x v="0"/>
    <x v="0"/>
    <x v="0"/>
    <x v="0"/>
    <x v="0"/>
  </r>
  <r>
    <x v="165"/>
    <x v="74"/>
    <x v="4"/>
    <x v="3"/>
    <x v="162"/>
    <x v="184"/>
    <x v="151"/>
    <x v="155"/>
    <x v="90"/>
    <x v="90"/>
    <x v="0"/>
    <x v="0"/>
    <x v="0"/>
    <x v="0"/>
    <x v="0"/>
    <x v="0"/>
    <x v="0"/>
  </r>
  <r>
    <x v="107"/>
    <x v="74"/>
    <x v="3"/>
    <x v="1"/>
    <x v="352"/>
    <x v="391"/>
    <x v="427"/>
    <x v="109"/>
    <x v="201"/>
    <x v="278"/>
    <x v="0"/>
    <x v="0"/>
    <x v="0"/>
    <x v="0"/>
    <x v="0"/>
    <x v="0"/>
    <x v="0"/>
  </r>
  <r>
    <x v="388"/>
    <x v="74"/>
    <x v="1"/>
    <x v="2"/>
    <x v="65"/>
    <x v="101"/>
    <x v="232"/>
    <x v="294"/>
    <x v="299"/>
    <x v="464"/>
    <x v="0"/>
    <x v="0"/>
    <x v="0"/>
    <x v="0"/>
    <x v="0"/>
    <x v="0"/>
    <x v="0"/>
  </r>
  <r>
    <x v="62"/>
    <x v="75"/>
    <x v="4"/>
    <x v="0"/>
    <x v="408"/>
    <x v="421"/>
    <x v="292"/>
    <x v="280"/>
    <x v="268"/>
    <x v="414"/>
    <x v="0"/>
    <x v="0"/>
    <x v="0"/>
    <x v="0"/>
    <x v="0"/>
    <x v="0"/>
    <x v="0"/>
  </r>
  <r>
    <x v="299"/>
    <x v="76"/>
    <x v="3"/>
    <x v="0"/>
    <x v="450"/>
    <x v="345"/>
    <x v="483"/>
    <x v="379"/>
    <x v="307"/>
    <x v="386"/>
    <x v="0"/>
    <x v="0"/>
    <x v="0"/>
    <x v="0"/>
    <x v="0"/>
    <x v="0"/>
    <x v="0"/>
  </r>
  <r>
    <x v="162"/>
    <x v="76"/>
    <x v="2"/>
    <x v="0"/>
    <x v="17"/>
    <x v="8"/>
    <x v="412"/>
    <x v="255"/>
    <x v="173"/>
    <x v="363"/>
    <x v="0"/>
    <x v="0"/>
    <x v="0"/>
    <x v="0"/>
    <x v="0"/>
    <x v="0"/>
    <x v="0"/>
  </r>
  <r>
    <x v="368"/>
    <x v="77"/>
    <x v="0"/>
    <x v="1"/>
    <x v="496"/>
    <x v="424"/>
    <x v="247"/>
    <x v="389"/>
    <x v="334"/>
    <x v="467"/>
    <x v="0"/>
    <x v="0"/>
    <x v="0"/>
    <x v="0"/>
    <x v="0"/>
    <x v="0"/>
    <x v="0"/>
  </r>
  <r>
    <x v="447"/>
    <x v="77"/>
    <x v="1"/>
    <x v="1"/>
    <x v="218"/>
    <x v="281"/>
    <x v="154"/>
    <x v="142"/>
    <x v="205"/>
    <x v="371"/>
    <x v="0"/>
    <x v="0"/>
    <x v="0"/>
    <x v="0"/>
    <x v="0"/>
    <x v="0"/>
    <x v="0"/>
  </r>
  <r>
    <x v="398"/>
    <x v="77"/>
    <x v="2"/>
    <x v="0"/>
    <x v="18"/>
    <x v="47"/>
    <x v="435"/>
    <x v="45"/>
    <x v="146"/>
    <x v="326"/>
    <x v="0"/>
    <x v="0"/>
    <x v="0"/>
    <x v="0"/>
    <x v="0"/>
    <x v="0"/>
    <x v="0"/>
  </r>
  <r>
    <x v="465"/>
    <x v="77"/>
    <x v="2"/>
    <x v="2"/>
    <x v="413"/>
    <x v="410"/>
    <x v="189"/>
    <x v="365"/>
    <x v="264"/>
    <x v="361"/>
    <x v="0"/>
    <x v="0"/>
    <x v="0"/>
    <x v="0"/>
    <x v="0"/>
    <x v="0"/>
    <x v="0"/>
  </r>
  <r>
    <x v="117"/>
    <x v="77"/>
    <x v="1"/>
    <x v="1"/>
    <x v="423"/>
    <x v="450"/>
    <x v="50"/>
    <x v="21"/>
    <x v="104"/>
    <x v="117"/>
    <x v="0"/>
    <x v="0"/>
    <x v="0"/>
    <x v="0"/>
    <x v="0"/>
    <x v="0"/>
    <x v="0"/>
  </r>
  <r>
    <x v="99"/>
    <x v="78"/>
    <x v="1"/>
    <x v="0"/>
    <x v="97"/>
    <x v="109"/>
    <x v="3"/>
    <x v="52"/>
    <x v="71"/>
    <x v="67"/>
    <x v="0"/>
    <x v="0"/>
    <x v="0"/>
    <x v="0"/>
    <x v="0"/>
    <x v="0"/>
    <x v="0"/>
  </r>
  <r>
    <x v="166"/>
    <x v="78"/>
    <x v="3"/>
    <x v="1"/>
    <x v="486"/>
    <x v="498"/>
    <x v="267"/>
    <x v="298"/>
    <x v="25"/>
    <x v="63"/>
    <x v="0"/>
    <x v="0"/>
    <x v="0"/>
    <x v="0"/>
    <x v="0"/>
    <x v="0"/>
    <x v="0"/>
  </r>
  <r>
    <x v="26"/>
    <x v="79"/>
    <x v="3"/>
    <x v="3"/>
    <x v="167"/>
    <x v="125"/>
    <x v="322"/>
    <x v="218"/>
    <x v="245"/>
    <x v="426"/>
    <x v="0"/>
    <x v="0"/>
    <x v="0"/>
    <x v="0"/>
    <x v="0"/>
    <x v="0"/>
    <x v="0"/>
  </r>
  <r>
    <x v="259"/>
    <x v="79"/>
    <x v="0"/>
    <x v="3"/>
    <x v="355"/>
    <x v="411"/>
    <x v="479"/>
    <x v="132"/>
    <x v="192"/>
    <x v="342"/>
    <x v="0"/>
    <x v="0"/>
    <x v="0"/>
    <x v="0"/>
    <x v="0"/>
    <x v="0"/>
    <x v="0"/>
  </r>
  <r>
    <x v="38"/>
    <x v="80"/>
    <x v="0"/>
    <x v="1"/>
    <x v="307"/>
    <x v="379"/>
    <x v="130"/>
    <x v="277"/>
    <x v="269"/>
    <x v="444"/>
    <x v="0"/>
    <x v="0"/>
    <x v="0"/>
    <x v="0"/>
    <x v="0"/>
    <x v="0"/>
    <x v="0"/>
  </r>
  <r>
    <x v="399"/>
    <x v="80"/>
    <x v="1"/>
    <x v="1"/>
    <x v="479"/>
    <x v="486"/>
    <x v="334"/>
    <x v="401"/>
    <x v="254"/>
    <x v="305"/>
    <x v="0"/>
    <x v="0"/>
    <x v="0"/>
    <x v="0"/>
    <x v="0"/>
    <x v="0"/>
    <x v="0"/>
  </r>
  <r>
    <x v="70"/>
    <x v="81"/>
    <x v="2"/>
    <x v="3"/>
    <x v="259"/>
    <x v="302"/>
    <x v="298"/>
    <x v="225"/>
    <x v="171"/>
    <x v="306"/>
    <x v="0"/>
    <x v="0"/>
    <x v="0"/>
    <x v="0"/>
    <x v="0"/>
    <x v="0"/>
    <x v="0"/>
  </r>
  <r>
    <x v="442"/>
    <x v="81"/>
    <x v="4"/>
    <x v="0"/>
    <x v="82"/>
    <x v="107"/>
    <x v="185"/>
    <x v="293"/>
    <x v="292"/>
    <x v="447"/>
    <x v="0"/>
    <x v="0"/>
    <x v="0"/>
    <x v="0"/>
    <x v="0"/>
    <x v="0"/>
    <x v="0"/>
  </r>
  <r>
    <x v="263"/>
    <x v="81"/>
    <x v="0"/>
    <x v="0"/>
    <x v="470"/>
    <x v="404"/>
    <x v="105"/>
    <x v="130"/>
    <x v="197"/>
    <x v="336"/>
    <x v="0"/>
    <x v="0"/>
    <x v="0"/>
    <x v="0"/>
    <x v="0"/>
    <x v="0"/>
    <x v="0"/>
  </r>
  <r>
    <x v="16"/>
    <x v="82"/>
    <x v="0"/>
    <x v="3"/>
    <x v="258"/>
    <x v="216"/>
    <x v="449"/>
    <x v="478"/>
    <x v="347"/>
    <x v="498"/>
    <x v="0"/>
    <x v="0"/>
    <x v="0"/>
    <x v="0"/>
    <x v="0"/>
    <x v="0"/>
    <x v="0"/>
  </r>
  <r>
    <x v="187"/>
    <x v="82"/>
    <x v="4"/>
    <x v="2"/>
    <x v="95"/>
    <x v="64"/>
    <x v="371"/>
    <x v="386"/>
    <x v="137"/>
    <x v="124"/>
    <x v="0"/>
    <x v="0"/>
    <x v="0"/>
    <x v="0"/>
    <x v="0"/>
    <x v="0"/>
    <x v="0"/>
  </r>
  <r>
    <x v="78"/>
    <x v="82"/>
    <x v="1"/>
    <x v="0"/>
    <x v="87"/>
    <x v="108"/>
    <x v="192"/>
    <x v="342"/>
    <x v="306"/>
    <x v="425"/>
    <x v="0"/>
    <x v="0"/>
    <x v="0"/>
    <x v="0"/>
    <x v="0"/>
    <x v="0"/>
    <x v="0"/>
  </r>
  <r>
    <x v="332"/>
    <x v="82"/>
    <x v="0"/>
    <x v="2"/>
    <x v="458"/>
    <x v="381"/>
    <x v="197"/>
    <x v="366"/>
    <x v="183"/>
    <x v="377"/>
    <x v="0"/>
    <x v="0"/>
    <x v="0"/>
    <x v="0"/>
    <x v="0"/>
    <x v="0"/>
    <x v="0"/>
  </r>
  <r>
    <x v="349"/>
    <x v="83"/>
    <x v="2"/>
    <x v="3"/>
    <x v="8"/>
    <x v="33"/>
    <x v="274"/>
    <x v="367"/>
    <x v="76"/>
    <x v="61"/>
    <x v="0"/>
    <x v="0"/>
    <x v="0"/>
    <x v="0"/>
    <x v="0"/>
    <x v="0"/>
    <x v="0"/>
  </r>
  <r>
    <x v="198"/>
    <x v="83"/>
    <x v="4"/>
    <x v="1"/>
    <x v="451"/>
    <x v="436"/>
    <x v="308"/>
    <x v="214"/>
    <x v="189"/>
    <x v="343"/>
    <x v="0"/>
    <x v="0"/>
    <x v="0"/>
    <x v="0"/>
    <x v="0"/>
    <x v="0"/>
    <x v="0"/>
  </r>
  <r>
    <x v="364"/>
    <x v="83"/>
    <x v="4"/>
    <x v="3"/>
    <x v="286"/>
    <x v="303"/>
    <x v="349"/>
    <x v="340"/>
    <x v="126"/>
    <x v="157"/>
    <x v="0"/>
    <x v="0"/>
    <x v="0"/>
    <x v="0"/>
    <x v="0"/>
    <x v="0"/>
    <x v="0"/>
  </r>
  <r>
    <x v="47"/>
    <x v="83"/>
    <x v="4"/>
    <x v="1"/>
    <x v="121"/>
    <x v="119"/>
    <x v="163"/>
    <x v="50"/>
    <x v="133"/>
    <x v="198"/>
    <x v="0"/>
    <x v="0"/>
    <x v="0"/>
    <x v="0"/>
    <x v="0"/>
    <x v="0"/>
    <x v="0"/>
  </r>
  <r>
    <x v="393"/>
    <x v="84"/>
    <x v="3"/>
    <x v="2"/>
    <x v="253"/>
    <x v="342"/>
    <x v="138"/>
    <x v="80"/>
    <x v="139"/>
    <x v="218"/>
    <x v="0"/>
    <x v="0"/>
    <x v="0"/>
    <x v="0"/>
    <x v="0"/>
    <x v="0"/>
    <x v="0"/>
  </r>
  <r>
    <x v="218"/>
    <x v="84"/>
    <x v="2"/>
    <x v="0"/>
    <x v="201"/>
    <x v="160"/>
    <x v="276"/>
    <x v="357"/>
    <x v="315"/>
    <x v="435"/>
    <x v="0"/>
    <x v="0"/>
    <x v="0"/>
    <x v="0"/>
    <x v="0"/>
    <x v="0"/>
    <x v="0"/>
  </r>
  <r>
    <x v="411"/>
    <x v="84"/>
    <x v="2"/>
    <x v="0"/>
    <x v="10"/>
    <x v="20"/>
    <x v="264"/>
    <x v="385"/>
    <x v="182"/>
    <x v="275"/>
    <x v="0"/>
    <x v="0"/>
    <x v="0"/>
    <x v="0"/>
    <x v="0"/>
    <x v="0"/>
    <x v="0"/>
  </r>
  <r>
    <x v="51"/>
    <x v="84"/>
    <x v="4"/>
    <x v="2"/>
    <x v="225"/>
    <x v="312"/>
    <x v="398"/>
    <x v="167"/>
    <x v="135"/>
    <x v="184"/>
    <x v="0"/>
    <x v="0"/>
    <x v="0"/>
    <x v="0"/>
    <x v="0"/>
    <x v="0"/>
    <x v="0"/>
  </r>
  <r>
    <x v="491"/>
    <x v="85"/>
    <x v="2"/>
    <x v="0"/>
    <x v="193"/>
    <x v="173"/>
    <x v="388"/>
    <x v="273"/>
    <x v="225"/>
    <x v="378"/>
    <x v="0"/>
    <x v="0"/>
    <x v="0"/>
    <x v="0"/>
    <x v="0"/>
    <x v="0"/>
    <x v="0"/>
  </r>
  <r>
    <x v="490"/>
    <x v="85"/>
    <x v="3"/>
    <x v="0"/>
    <x v="267"/>
    <x v="317"/>
    <x v="41"/>
    <x v="213"/>
    <x v="158"/>
    <x v="331"/>
    <x v="0"/>
    <x v="0"/>
    <x v="0"/>
    <x v="0"/>
    <x v="0"/>
    <x v="0"/>
    <x v="0"/>
  </r>
  <r>
    <x v="185"/>
    <x v="86"/>
    <x v="3"/>
    <x v="0"/>
    <x v="192"/>
    <x v="145"/>
    <x v="396"/>
    <x v="184"/>
    <x v="75"/>
    <x v="60"/>
    <x v="0"/>
    <x v="0"/>
    <x v="0"/>
    <x v="0"/>
    <x v="0"/>
    <x v="0"/>
    <x v="0"/>
  </r>
  <r>
    <x v="357"/>
    <x v="87"/>
    <x v="3"/>
    <x v="0"/>
    <x v="108"/>
    <x v="62"/>
    <x v="118"/>
    <x v="297"/>
    <x v="303"/>
    <x v="358"/>
    <x v="0"/>
    <x v="0"/>
    <x v="0"/>
    <x v="0"/>
    <x v="0"/>
    <x v="0"/>
    <x v="0"/>
  </r>
  <r>
    <x v="238"/>
    <x v="87"/>
    <x v="2"/>
    <x v="2"/>
    <x v="158"/>
    <x v="217"/>
    <x v="357"/>
    <x v="424"/>
    <x v="320"/>
    <x v="482"/>
    <x v="0"/>
    <x v="0"/>
    <x v="0"/>
    <x v="0"/>
    <x v="0"/>
    <x v="0"/>
    <x v="0"/>
  </r>
  <r>
    <x v="79"/>
    <x v="88"/>
    <x v="0"/>
    <x v="3"/>
    <x v="7"/>
    <x v="17"/>
    <x v="242"/>
    <x v="215"/>
    <x v="143"/>
    <x v="175"/>
    <x v="0"/>
    <x v="0"/>
    <x v="0"/>
    <x v="0"/>
    <x v="0"/>
    <x v="0"/>
    <x v="0"/>
  </r>
  <r>
    <x v="247"/>
    <x v="89"/>
    <x v="1"/>
    <x v="2"/>
    <x v="139"/>
    <x v="172"/>
    <x v="430"/>
    <x v="333"/>
    <x v="321"/>
    <x v="458"/>
    <x v="0"/>
    <x v="0"/>
    <x v="0"/>
    <x v="0"/>
    <x v="0"/>
    <x v="0"/>
    <x v="0"/>
  </r>
  <r>
    <x v="236"/>
    <x v="89"/>
    <x v="2"/>
    <x v="1"/>
    <x v="122"/>
    <x v="135"/>
    <x v="45"/>
    <x v="231"/>
    <x v="180"/>
    <x v="348"/>
    <x v="0"/>
    <x v="0"/>
    <x v="0"/>
    <x v="0"/>
    <x v="0"/>
    <x v="0"/>
    <x v="0"/>
  </r>
  <r>
    <x v="462"/>
    <x v="89"/>
    <x v="3"/>
    <x v="2"/>
    <x v="382"/>
    <x v="314"/>
    <x v="81"/>
    <x v="101"/>
    <x v="36"/>
    <x v="112"/>
    <x v="0"/>
    <x v="0"/>
    <x v="0"/>
    <x v="0"/>
    <x v="0"/>
    <x v="0"/>
    <x v="0"/>
  </r>
  <r>
    <x v="231"/>
    <x v="90"/>
    <x v="1"/>
    <x v="3"/>
    <x v="112"/>
    <x v="77"/>
    <x v="429"/>
    <x v="457"/>
    <x v="122"/>
    <x v="238"/>
    <x v="0"/>
    <x v="0"/>
    <x v="0"/>
    <x v="0"/>
    <x v="0"/>
    <x v="0"/>
    <x v="0"/>
  </r>
  <r>
    <x v="254"/>
    <x v="90"/>
    <x v="3"/>
    <x v="3"/>
    <x v="118"/>
    <x v="137"/>
    <x v="186"/>
    <x v="232"/>
    <x v="212"/>
    <x v="224"/>
    <x v="0"/>
    <x v="0"/>
    <x v="0"/>
    <x v="0"/>
    <x v="0"/>
    <x v="0"/>
    <x v="0"/>
  </r>
  <r>
    <x v="64"/>
    <x v="90"/>
    <x v="3"/>
    <x v="1"/>
    <x v="452"/>
    <x v="464"/>
    <x v="95"/>
    <x v="98"/>
    <x v="118"/>
    <x v="179"/>
    <x v="0"/>
    <x v="0"/>
    <x v="0"/>
    <x v="0"/>
    <x v="0"/>
    <x v="0"/>
    <x v="0"/>
  </r>
  <r>
    <x v="342"/>
    <x v="91"/>
    <x v="4"/>
    <x v="2"/>
    <x v="425"/>
    <x v="478"/>
    <x v="174"/>
    <x v="63"/>
    <x v="65"/>
    <x v="94"/>
    <x v="0"/>
    <x v="0"/>
    <x v="0"/>
    <x v="0"/>
    <x v="0"/>
    <x v="0"/>
    <x v="0"/>
  </r>
  <r>
    <x v="116"/>
    <x v="91"/>
    <x v="3"/>
    <x v="3"/>
    <x v="178"/>
    <x v="200"/>
    <x v="441"/>
    <x v="408"/>
    <x v="83"/>
    <x v="151"/>
    <x v="0"/>
    <x v="0"/>
    <x v="0"/>
    <x v="0"/>
    <x v="0"/>
    <x v="0"/>
    <x v="0"/>
  </r>
  <r>
    <x v="443"/>
    <x v="91"/>
    <x v="2"/>
    <x v="2"/>
    <x v="232"/>
    <x v="249"/>
    <x v="319"/>
    <x v="442"/>
    <x v="277"/>
    <x v="442"/>
    <x v="0"/>
    <x v="0"/>
    <x v="0"/>
    <x v="0"/>
    <x v="0"/>
    <x v="0"/>
    <x v="0"/>
  </r>
  <r>
    <x v="294"/>
    <x v="91"/>
    <x v="1"/>
    <x v="3"/>
    <x v="6"/>
    <x v="1"/>
    <x v="14"/>
    <x v="121"/>
    <x v="115"/>
    <x v="259"/>
    <x v="0"/>
    <x v="0"/>
    <x v="0"/>
    <x v="0"/>
    <x v="0"/>
    <x v="0"/>
    <x v="0"/>
  </r>
  <r>
    <x v="463"/>
    <x v="92"/>
    <x v="4"/>
    <x v="1"/>
    <x v="215"/>
    <x v="188"/>
    <x v="475"/>
    <x v="195"/>
    <x v="64"/>
    <x v="54"/>
    <x v="0"/>
    <x v="0"/>
    <x v="0"/>
    <x v="0"/>
    <x v="0"/>
    <x v="0"/>
    <x v="0"/>
  </r>
  <r>
    <x v="366"/>
    <x v="92"/>
    <x v="3"/>
    <x v="1"/>
    <x v="386"/>
    <x v="361"/>
    <x v="64"/>
    <x v="53"/>
    <x v="38"/>
    <x v="23"/>
    <x v="0"/>
    <x v="0"/>
    <x v="0"/>
    <x v="0"/>
    <x v="0"/>
    <x v="0"/>
    <x v="0"/>
  </r>
  <r>
    <x v="331"/>
    <x v="93"/>
    <x v="0"/>
    <x v="0"/>
    <x v="276"/>
    <x v="266"/>
    <x v="407"/>
    <x v="197"/>
    <x v="20"/>
    <x v="7"/>
    <x v="0"/>
    <x v="0"/>
    <x v="0"/>
    <x v="0"/>
    <x v="0"/>
    <x v="0"/>
    <x v="0"/>
  </r>
  <r>
    <x v="287"/>
    <x v="94"/>
    <x v="3"/>
    <x v="0"/>
    <x v="214"/>
    <x v="222"/>
    <x v="325"/>
    <x v="100"/>
    <x v="61"/>
    <x v="101"/>
    <x v="0"/>
    <x v="0"/>
    <x v="0"/>
    <x v="0"/>
    <x v="0"/>
    <x v="0"/>
    <x v="0"/>
  </r>
  <r>
    <x v="301"/>
    <x v="95"/>
    <x v="4"/>
    <x v="1"/>
    <x v="273"/>
    <x v="275"/>
    <x v="383"/>
    <x v="321"/>
    <x v="59"/>
    <x v="153"/>
    <x v="0"/>
    <x v="0"/>
    <x v="0"/>
    <x v="0"/>
    <x v="0"/>
    <x v="0"/>
    <x v="0"/>
  </r>
  <r>
    <x v="161"/>
    <x v="95"/>
    <x v="1"/>
    <x v="1"/>
    <x v="302"/>
    <x v="326"/>
    <x v="234"/>
    <x v="57"/>
    <x v="37"/>
    <x v="108"/>
    <x v="0"/>
    <x v="0"/>
    <x v="0"/>
    <x v="0"/>
    <x v="0"/>
    <x v="0"/>
    <x v="0"/>
  </r>
  <r>
    <x v="458"/>
    <x v="95"/>
    <x v="1"/>
    <x v="3"/>
    <x v="116"/>
    <x v="157"/>
    <x v="222"/>
    <x v="319"/>
    <x v="49"/>
    <x v="83"/>
    <x v="0"/>
    <x v="0"/>
    <x v="0"/>
    <x v="0"/>
    <x v="0"/>
    <x v="0"/>
    <x v="0"/>
  </r>
  <r>
    <x v="243"/>
    <x v="95"/>
    <x v="0"/>
    <x v="2"/>
    <x v="69"/>
    <x v="46"/>
    <x v="11"/>
    <x v="86"/>
    <x v="51"/>
    <x v="130"/>
    <x v="0"/>
    <x v="0"/>
    <x v="0"/>
    <x v="0"/>
    <x v="0"/>
    <x v="0"/>
    <x v="0"/>
  </r>
  <r>
    <x v="96"/>
    <x v="96"/>
    <x v="2"/>
    <x v="2"/>
    <x v="135"/>
    <x v="144"/>
    <x v="29"/>
    <x v="193"/>
    <x v="18"/>
    <x v="4"/>
    <x v="0"/>
    <x v="0"/>
    <x v="0"/>
    <x v="0"/>
    <x v="0"/>
    <x v="0"/>
    <x v="0"/>
  </r>
  <r>
    <x v="394"/>
    <x v="96"/>
    <x v="0"/>
    <x v="0"/>
    <x v="306"/>
    <x v="396"/>
    <x v="321"/>
    <x v="201"/>
    <x v="25"/>
    <x v="9"/>
    <x v="0"/>
    <x v="0"/>
    <x v="0"/>
    <x v="0"/>
    <x v="0"/>
    <x v="0"/>
    <x v="0"/>
  </r>
  <r>
    <x v="445"/>
    <x v="96"/>
    <x v="3"/>
    <x v="1"/>
    <x v="314"/>
    <x v="267"/>
    <x v="450"/>
    <x v="480"/>
    <x v="336"/>
    <x v="487"/>
    <x v="0"/>
    <x v="0"/>
    <x v="0"/>
    <x v="0"/>
    <x v="0"/>
    <x v="0"/>
    <x v="0"/>
  </r>
  <r>
    <x v="375"/>
    <x v="97"/>
    <x v="2"/>
    <x v="0"/>
    <x v="260"/>
    <x v="207"/>
    <x v="135"/>
    <x v="206"/>
    <x v="134"/>
    <x v="226"/>
    <x v="0"/>
    <x v="0"/>
    <x v="0"/>
    <x v="0"/>
    <x v="0"/>
    <x v="0"/>
    <x v="0"/>
  </r>
  <r>
    <x v="308"/>
    <x v="97"/>
    <x v="1"/>
    <x v="0"/>
    <x v="199"/>
    <x v="136"/>
    <x v="112"/>
    <x v="210"/>
    <x v="176"/>
    <x v="251"/>
    <x v="0"/>
    <x v="0"/>
    <x v="0"/>
    <x v="0"/>
    <x v="0"/>
    <x v="0"/>
    <x v="0"/>
  </r>
  <r>
    <x v="10"/>
    <x v="98"/>
    <x v="4"/>
    <x v="1"/>
    <x v="285"/>
    <x v="242"/>
    <x v="480"/>
    <x v="481"/>
    <x v="308"/>
    <x v="380"/>
    <x v="0"/>
    <x v="0"/>
    <x v="0"/>
    <x v="0"/>
    <x v="0"/>
    <x v="0"/>
    <x v="0"/>
  </r>
  <r>
    <x v="418"/>
    <x v="98"/>
    <x v="0"/>
    <x v="1"/>
    <x v="332"/>
    <x v="329"/>
    <x v="184"/>
    <x v="267"/>
    <x v="23"/>
    <x v="18"/>
    <x v="0"/>
    <x v="0"/>
    <x v="0"/>
    <x v="0"/>
    <x v="0"/>
    <x v="0"/>
    <x v="0"/>
  </r>
  <r>
    <x v="129"/>
    <x v="98"/>
    <x v="1"/>
    <x v="1"/>
    <x v="77"/>
    <x v="103"/>
    <x v="498"/>
    <x v="437"/>
    <x v="132"/>
    <x v="287"/>
    <x v="0"/>
    <x v="0"/>
    <x v="0"/>
    <x v="0"/>
    <x v="0"/>
    <x v="0"/>
    <x v="0"/>
  </r>
  <r>
    <x v="220"/>
    <x v="98"/>
    <x v="3"/>
    <x v="2"/>
    <x v="165"/>
    <x v="226"/>
    <x v="446"/>
    <x v="59"/>
    <x v="30"/>
    <x v="68"/>
    <x v="0"/>
    <x v="0"/>
    <x v="0"/>
    <x v="0"/>
    <x v="0"/>
    <x v="0"/>
    <x v="0"/>
  </r>
  <r>
    <x v="350"/>
    <x v="99"/>
    <x v="2"/>
    <x v="0"/>
    <x v="437"/>
    <x v="437"/>
    <x v="485"/>
    <x v="469"/>
    <x v="196"/>
    <x v="385"/>
    <x v="0"/>
    <x v="0"/>
    <x v="0"/>
    <x v="0"/>
    <x v="0"/>
    <x v="0"/>
    <x v="0"/>
  </r>
  <r>
    <x v="304"/>
    <x v="99"/>
    <x v="0"/>
    <x v="3"/>
    <x v="299"/>
    <x v="294"/>
    <x v="405"/>
    <x v="308"/>
    <x v="229"/>
    <x v="374"/>
    <x v="0"/>
    <x v="0"/>
    <x v="0"/>
    <x v="0"/>
    <x v="0"/>
    <x v="0"/>
    <x v="0"/>
  </r>
  <r>
    <x v="124"/>
    <x v="100"/>
    <x v="1"/>
    <x v="3"/>
    <x v="36"/>
    <x v="56"/>
    <x v="382"/>
    <x v="441"/>
    <x v="252"/>
    <x v="286"/>
    <x v="0"/>
    <x v="0"/>
    <x v="0"/>
    <x v="0"/>
    <x v="0"/>
    <x v="0"/>
    <x v="0"/>
  </r>
  <r>
    <x v="6"/>
    <x v="100"/>
    <x v="4"/>
    <x v="1"/>
    <x v="202"/>
    <x v="185"/>
    <x v="80"/>
    <x v="38"/>
    <x v="123"/>
    <x v="240"/>
    <x v="0"/>
    <x v="0"/>
    <x v="0"/>
    <x v="0"/>
    <x v="0"/>
    <x v="0"/>
    <x v="0"/>
  </r>
  <r>
    <x v="210"/>
    <x v="100"/>
    <x v="3"/>
    <x v="2"/>
    <x v="351"/>
    <x v="429"/>
    <x v="464"/>
    <x v="403"/>
    <x v="230"/>
    <x v="365"/>
    <x v="0"/>
    <x v="0"/>
    <x v="0"/>
    <x v="0"/>
    <x v="0"/>
    <x v="0"/>
    <x v="0"/>
  </r>
  <r>
    <x v="325"/>
    <x v="101"/>
    <x v="4"/>
    <x v="2"/>
    <x v="127"/>
    <x v="130"/>
    <x v="214"/>
    <x v="146"/>
    <x v="95"/>
    <x v="91"/>
    <x v="0"/>
    <x v="0"/>
    <x v="0"/>
    <x v="0"/>
    <x v="0"/>
    <x v="0"/>
    <x v="0"/>
  </r>
  <r>
    <x v="192"/>
    <x v="101"/>
    <x v="4"/>
    <x v="3"/>
    <x v="60"/>
    <x v="102"/>
    <x v="127"/>
    <x v="92"/>
    <x v="81"/>
    <x v="138"/>
    <x v="0"/>
    <x v="0"/>
    <x v="0"/>
    <x v="0"/>
    <x v="0"/>
    <x v="0"/>
    <x v="0"/>
  </r>
  <r>
    <x v="367"/>
    <x v="101"/>
    <x v="3"/>
    <x v="0"/>
    <x v="480"/>
    <x v="492"/>
    <x v="259"/>
    <x v="295"/>
    <x v="271"/>
    <x v="451"/>
    <x v="0"/>
    <x v="0"/>
    <x v="0"/>
    <x v="0"/>
    <x v="0"/>
    <x v="0"/>
    <x v="0"/>
  </r>
  <r>
    <x v="59"/>
    <x v="101"/>
    <x v="3"/>
    <x v="1"/>
    <x v="184"/>
    <x v="241"/>
    <x v="240"/>
    <x v="151"/>
    <x v="168"/>
    <x v="199"/>
    <x v="0"/>
    <x v="0"/>
    <x v="0"/>
    <x v="0"/>
    <x v="0"/>
    <x v="0"/>
    <x v="0"/>
  </r>
  <r>
    <x v="432"/>
    <x v="102"/>
    <x v="1"/>
    <x v="2"/>
    <x v="70"/>
    <x v="40"/>
    <x v="315"/>
    <x v="299"/>
    <x v="190"/>
    <x v="337"/>
    <x v="0"/>
    <x v="0"/>
    <x v="0"/>
    <x v="0"/>
    <x v="0"/>
    <x v="0"/>
    <x v="0"/>
  </r>
  <r>
    <x v="39"/>
    <x v="102"/>
    <x v="4"/>
    <x v="1"/>
    <x v="85"/>
    <x v="124"/>
    <x v="89"/>
    <x v="24"/>
    <x v="121"/>
    <x v="228"/>
    <x v="0"/>
    <x v="0"/>
    <x v="0"/>
    <x v="0"/>
    <x v="0"/>
    <x v="0"/>
    <x v="0"/>
  </r>
  <r>
    <x v="265"/>
    <x v="102"/>
    <x v="3"/>
    <x v="1"/>
    <x v="434"/>
    <x v="482"/>
    <x v="356"/>
    <x v="327"/>
    <x v="204"/>
    <x v="345"/>
    <x v="0"/>
    <x v="0"/>
    <x v="0"/>
    <x v="0"/>
    <x v="0"/>
    <x v="0"/>
    <x v="0"/>
  </r>
  <r>
    <x v="416"/>
    <x v="102"/>
    <x v="3"/>
    <x v="3"/>
    <x v="461"/>
    <x v="470"/>
    <x v="74"/>
    <x v="23"/>
    <x v="1"/>
    <x v="24"/>
    <x v="0"/>
    <x v="0"/>
    <x v="0"/>
    <x v="0"/>
    <x v="0"/>
    <x v="0"/>
    <x v="0"/>
  </r>
  <r>
    <x v="234"/>
    <x v="103"/>
    <x v="2"/>
    <x v="0"/>
    <x v="153"/>
    <x v="116"/>
    <x v="51"/>
    <x v="238"/>
    <x v="164"/>
    <x v="171"/>
    <x v="0"/>
    <x v="0"/>
    <x v="0"/>
    <x v="0"/>
    <x v="0"/>
    <x v="0"/>
    <x v="0"/>
  </r>
  <r>
    <x v="453"/>
    <x v="104"/>
    <x v="1"/>
    <x v="2"/>
    <x v="278"/>
    <x v="364"/>
    <x v="153"/>
    <x v="208"/>
    <x v="213"/>
    <x v="272"/>
    <x v="0"/>
    <x v="0"/>
    <x v="0"/>
    <x v="0"/>
    <x v="0"/>
    <x v="0"/>
    <x v="0"/>
  </r>
  <r>
    <x v="9"/>
    <x v="105"/>
    <x v="4"/>
    <x v="2"/>
    <x v="241"/>
    <x v="264"/>
    <x v="445"/>
    <x v="381"/>
    <x v="11"/>
    <x v="2"/>
    <x v="0"/>
    <x v="0"/>
    <x v="0"/>
    <x v="0"/>
    <x v="0"/>
    <x v="0"/>
    <x v="0"/>
  </r>
  <r>
    <x v="223"/>
    <x v="105"/>
    <x v="0"/>
    <x v="2"/>
    <x v="134"/>
    <x v="99"/>
    <x v="497"/>
    <x v="463"/>
    <x v="311"/>
    <x v="476"/>
    <x v="0"/>
    <x v="0"/>
    <x v="0"/>
    <x v="0"/>
    <x v="0"/>
    <x v="0"/>
    <x v="0"/>
  </r>
  <r>
    <x v="2"/>
    <x v="105"/>
    <x v="0"/>
    <x v="1"/>
    <x v="24"/>
    <x v="54"/>
    <x v="207"/>
    <x v="392"/>
    <x v="329"/>
    <x v="475"/>
    <x v="0"/>
    <x v="0"/>
    <x v="0"/>
    <x v="0"/>
    <x v="0"/>
    <x v="0"/>
    <x v="0"/>
  </r>
  <r>
    <x v="384"/>
    <x v="106"/>
    <x v="1"/>
    <x v="3"/>
    <x v="342"/>
    <x v="380"/>
    <x v="400"/>
    <x v="406"/>
    <x v="328"/>
    <x v="474"/>
    <x v="0"/>
    <x v="0"/>
    <x v="0"/>
    <x v="0"/>
    <x v="0"/>
    <x v="0"/>
    <x v="0"/>
  </r>
  <r>
    <x v="484"/>
    <x v="106"/>
    <x v="3"/>
    <x v="2"/>
    <x v="431"/>
    <x v="438"/>
    <x v="170"/>
    <x v="163"/>
    <x v="218"/>
    <x v="232"/>
    <x v="0"/>
    <x v="0"/>
    <x v="0"/>
    <x v="0"/>
    <x v="0"/>
    <x v="0"/>
    <x v="0"/>
  </r>
  <r>
    <x v="386"/>
    <x v="106"/>
    <x v="4"/>
    <x v="2"/>
    <x v="433"/>
    <x v="337"/>
    <x v="17"/>
    <x v="194"/>
    <x v="236"/>
    <x v="406"/>
    <x v="0"/>
    <x v="0"/>
    <x v="0"/>
    <x v="0"/>
    <x v="0"/>
    <x v="0"/>
    <x v="0"/>
  </r>
  <r>
    <x v="122"/>
    <x v="106"/>
    <x v="4"/>
    <x v="0"/>
    <x v="476"/>
    <x v="493"/>
    <x v="389"/>
    <x v="305"/>
    <x v="68"/>
    <x v="76"/>
    <x v="0"/>
    <x v="0"/>
    <x v="0"/>
    <x v="0"/>
    <x v="0"/>
    <x v="0"/>
    <x v="0"/>
  </r>
  <r>
    <x v="105"/>
    <x v="106"/>
    <x v="1"/>
    <x v="3"/>
    <x v="337"/>
    <x v="331"/>
    <x v="421"/>
    <x v="114"/>
    <x v="213"/>
    <x v="265"/>
    <x v="0"/>
    <x v="0"/>
    <x v="0"/>
    <x v="0"/>
    <x v="0"/>
    <x v="0"/>
    <x v="0"/>
  </r>
  <r>
    <x v="140"/>
    <x v="106"/>
    <x v="2"/>
    <x v="2"/>
    <x v="393"/>
    <x v="442"/>
    <x v="496"/>
    <x v="414"/>
    <x v="336"/>
    <x v="438"/>
    <x v="0"/>
    <x v="0"/>
    <x v="0"/>
    <x v="0"/>
    <x v="0"/>
    <x v="0"/>
    <x v="0"/>
  </r>
  <r>
    <x v="25"/>
    <x v="107"/>
    <x v="0"/>
    <x v="3"/>
    <x v="359"/>
    <x v="415"/>
    <x v="452"/>
    <x v="452"/>
    <x v="348"/>
    <x v="463"/>
    <x v="0"/>
    <x v="0"/>
    <x v="0"/>
    <x v="0"/>
    <x v="0"/>
    <x v="0"/>
    <x v="0"/>
  </r>
  <r>
    <x v="344"/>
    <x v="107"/>
    <x v="4"/>
    <x v="3"/>
    <x v="105"/>
    <x v="71"/>
    <x v="351"/>
    <x v="248"/>
    <x v="146"/>
    <x v="146"/>
    <x v="0"/>
    <x v="0"/>
    <x v="0"/>
    <x v="0"/>
    <x v="0"/>
    <x v="0"/>
    <x v="0"/>
  </r>
  <r>
    <x v="408"/>
    <x v="108"/>
    <x v="1"/>
    <x v="0"/>
    <x v="197"/>
    <x v="221"/>
    <x v="337"/>
    <x v="380"/>
    <x v="250"/>
    <x v="370"/>
    <x v="0"/>
    <x v="0"/>
    <x v="0"/>
    <x v="0"/>
    <x v="0"/>
    <x v="0"/>
    <x v="0"/>
  </r>
  <r>
    <x v="319"/>
    <x v="108"/>
    <x v="2"/>
    <x v="3"/>
    <x v="19"/>
    <x v="4"/>
    <x v="16"/>
    <x v="76"/>
    <x v="146"/>
    <x v="292"/>
    <x v="0"/>
    <x v="0"/>
    <x v="0"/>
    <x v="0"/>
    <x v="0"/>
    <x v="0"/>
    <x v="0"/>
  </r>
  <r>
    <x v="114"/>
    <x v="108"/>
    <x v="3"/>
    <x v="3"/>
    <x v="75"/>
    <x v="76"/>
    <x v="406"/>
    <x v="93"/>
    <x v="119"/>
    <x v="191"/>
    <x v="0"/>
    <x v="0"/>
    <x v="0"/>
    <x v="0"/>
    <x v="0"/>
    <x v="0"/>
    <x v="0"/>
  </r>
  <r>
    <x v="11"/>
    <x v="108"/>
    <x v="2"/>
    <x v="2"/>
    <x v="471"/>
    <x v="495"/>
    <x v="18"/>
    <x v="129"/>
    <x v="70"/>
    <x v="169"/>
    <x v="0"/>
    <x v="0"/>
    <x v="0"/>
    <x v="0"/>
    <x v="0"/>
    <x v="0"/>
    <x v="0"/>
  </r>
  <r>
    <x v="284"/>
    <x v="108"/>
    <x v="1"/>
    <x v="2"/>
    <x v="93"/>
    <x v="133"/>
    <x v="37"/>
    <x v="18"/>
    <x v="45"/>
    <x v="43"/>
    <x v="0"/>
    <x v="0"/>
    <x v="0"/>
    <x v="0"/>
    <x v="0"/>
    <x v="0"/>
    <x v="0"/>
  </r>
  <r>
    <x v="35"/>
    <x v="109"/>
    <x v="2"/>
    <x v="0"/>
    <x v="119"/>
    <x v="104"/>
    <x v="210"/>
    <x v="350"/>
    <x v="19"/>
    <x v="55"/>
    <x v="0"/>
    <x v="0"/>
    <x v="0"/>
    <x v="0"/>
    <x v="0"/>
    <x v="0"/>
    <x v="0"/>
  </r>
  <r>
    <x v="315"/>
    <x v="109"/>
    <x v="0"/>
    <x v="2"/>
    <x v="1"/>
    <x v="0"/>
    <x v="354"/>
    <x v="421"/>
    <x v="123"/>
    <x v="281"/>
    <x v="0"/>
    <x v="0"/>
    <x v="0"/>
    <x v="0"/>
    <x v="0"/>
    <x v="0"/>
    <x v="0"/>
  </r>
  <r>
    <x v="306"/>
    <x v="110"/>
    <x v="3"/>
    <x v="0"/>
    <x v="375"/>
    <x v="309"/>
    <x v="145"/>
    <x v="182"/>
    <x v="172"/>
    <x v="351"/>
    <x v="0"/>
    <x v="0"/>
    <x v="0"/>
    <x v="0"/>
    <x v="0"/>
    <x v="0"/>
    <x v="0"/>
  </r>
  <r>
    <x v="298"/>
    <x v="110"/>
    <x v="4"/>
    <x v="0"/>
    <x v="324"/>
    <x v="279"/>
    <x v="193"/>
    <x v="363"/>
    <x v="195"/>
    <x v="273"/>
    <x v="0"/>
    <x v="0"/>
    <x v="0"/>
    <x v="0"/>
    <x v="0"/>
    <x v="0"/>
    <x v="0"/>
  </r>
  <r>
    <x v="7"/>
    <x v="110"/>
    <x v="0"/>
    <x v="2"/>
    <x v="55"/>
    <x v="48"/>
    <x v="42"/>
    <x v="202"/>
    <x v="151"/>
    <x v="234"/>
    <x v="0"/>
    <x v="0"/>
    <x v="0"/>
    <x v="0"/>
    <x v="0"/>
    <x v="0"/>
    <x v="0"/>
  </r>
  <r>
    <x v="66"/>
    <x v="111"/>
    <x v="2"/>
    <x v="2"/>
    <x v="443"/>
    <x v="479"/>
    <x v="270"/>
    <x v="412"/>
    <x v="287"/>
    <x v="443"/>
    <x v="0"/>
    <x v="0"/>
    <x v="0"/>
    <x v="0"/>
    <x v="0"/>
    <x v="0"/>
    <x v="0"/>
  </r>
  <r>
    <x v="321"/>
    <x v="111"/>
    <x v="0"/>
    <x v="1"/>
    <x v="188"/>
    <x v="164"/>
    <x v="126"/>
    <x v="62"/>
    <x v="9"/>
    <x v="16"/>
    <x v="0"/>
    <x v="0"/>
    <x v="0"/>
    <x v="0"/>
    <x v="0"/>
    <x v="0"/>
    <x v="0"/>
  </r>
  <r>
    <x v="74"/>
    <x v="111"/>
    <x v="4"/>
    <x v="2"/>
    <x v="35"/>
    <x v="31"/>
    <x v="129"/>
    <x v="199"/>
    <x v="243"/>
    <x v="327"/>
    <x v="0"/>
    <x v="0"/>
    <x v="0"/>
    <x v="0"/>
    <x v="0"/>
    <x v="0"/>
    <x v="0"/>
  </r>
  <r>
    <x v="199"/>
    <x v="112"/>
    <x v="2"/>
    <x v="2"/>
    <x v="74"/>
    <x v="53"/>
    <x v="404"/>
    <x v="455"/>
    <x v="337"/>
    <x v="431"/>
    <x v="0"/>
    <x v="0"/>
    <x v="0"/>
    <x v="0"/>
    <x v="0"/>
    <x v="0"/>
    <x v="0"/>
  </r>
  <r>
    <x v="449"/>
    <x v="112"/>
    <x v="1"/>
    <x v="2"/>
    <x v="173"/>
    <x v="240"/>
    <x v="225"/>
    <x v="332"/>
    <x v="234"/>
    <x v="256"/>
    <x v="0"/>
    <x v="0"/>
    <x v="0"/>
    <x v="0"/>
    <x v="0"/>
    <x v="0"/>
    <x v="0"/>
  </r>
  <r>
    <x v="385"/>
    <x v="112"/>
    <x v="1"/>
    <x v="2"/>
    <x v="369"/>
    <x v="307"/>
    <x v="224"/>
    <x v="41"/>
    <x v="94"/>
    <x v="239"/>
    <x v="0"/>
    <x v="0"/>
    <x v="0"/>
    <x v="0"/>
    <x v="0"/>
    <x v="0"/>
    <x v="0"/>
  </r>
  <r>
    <x v="426"/>
    <x v="113"/>
    <x v="1"/>
    <x v="2"/>
    <x v="59"/>
    <x v="66"/>
    <x v="21"/>
    <x v="110"/>
    <x v="83"/>
    <x v="173"/>
    <x v="0"/>
    <x v="0"/>
    <x v="0"/>
    <x v="0"/>
    <x v="0"/>
    <x v="0"/>
    <x v="0"/>
  </r>
  <r>
    <x v="302"/>
    <x v="113"/>
    <x v="1"/>
    <x v="3"/>
    <x v="409"/>
    <x v="378"/>
    <x v="410"/>
    <x v="453"/>
    <x v="342"/>
    <x v="462"/>
    <x v="0"/>
    <x v="0"/>
    <x v="0"/>
    <x v="0"/>
    <x v="0"/>
    <x v="0"/>
    <x v="0"/>
  </r>
  <r>
    <x v="186"/>
    <x v="113"/>
    <x v="1"/>
    <x v="0"/>
    <x v="372"/>
    <x v="408"/>
    <x v="22"/>
    <x v="84"/>
    <x v="82"/>
    <x v="187"/>
    <x v="0"/>
    <x v="0"/>
    <x v="0"/>
    <x v="0"/>
    <x v="0"/>
    <x v="0"/>
    <x v="0"/>
  </r>
  <r>
    <x v="37"/>
    <x v="113"/>
    <x v="4"/>
    <x v="3"/>
    <x v="66"/>
    <x v="110"/>
    <x v="212"/>
    <x v="378"/>
    <x v="13"/>
    <x v="50"/>
    <x v="0"/>
    <x v="0"/>
    <x v="0"/>
    <x v="0"/>
    <x v="0"/>
    <x v="0"/>
    <x v="0"/>
  </r>
  <r>
    <x v="322"/>
    <x v="114"/>
    <x v="2"/>
    <x v="3"/>
    <x v="354"/>
    <x v="319"/>
    <x v="93"/>
    <x v="5"/>
    <x v="86"/>
    <x v="167"/>
    <x v="0"/>
    <x v="0"/>
    <x v="0"/>
    <x v="0"/>
    <x v="0"/>
    <x v="0"/>
    <x v="0"/>
  </r>
  <r>
    <x v="464"/>
    <x v="115"/>
    <x v="3"/>
    <x v="2"/>
    <x v="73"/>
    <x v="83"/>
    <x v="39"/>
    <x v="88"/>
    <x v="118"/>
    <x v="177"/>
    <x v="0"/>
    <x v="0"/>
    <x v="0"/>
    <x v="0"/>
    <x v="0"/>
    <x v="0"/>
    <x v="0"/>
  </r>
  <r>
    <x v="205"/>
    <x v="116"/>
    <x v="2"/>
    <x v="2"/>
    <x v="462"/>
    <x v="370"/>
    <x v="368"/>
    <x v="141"/>
    <x v="226"/>
    <x v="297"/>
    <x v="0"/>
    <x v="0"/>
    <x v="0"/>
    <x v="0"/>
    <x v="0"/>
    <x v="0"/>
    <x v="0"/>
  </r>
  <r>
    <x v="144"/>
    <x v="116"/>
    <x v="2"/>
    <x v="1"/>
    <x v="293"/>
    <x v="230"/>
    <x v="73"/>
    <x v="186"/>
    <x v="43"/>
    <x v="32"/>
    <x v="0"/>
    <x v="0"/>
    <x v="0"/>
    <x v="0"/>
    <x v="0"/>
    <x v="0"/>
    <x v="0"/>
  </r>
  <r>
    <x v="391"/>
    <x v="116"/>
    <x v="1"/>
    <x v="3"/>
    <x v="126"/>
    <x v="132"/>
    <x v="420"/>
    <x v="470"/>
    <x v="270"/>
    <x v="419"/>
    <x v="0"/>
    <x v="0"/>
    <x v="0"/>
    <x v="0"/>
    <x v="0"/>
    <x v="0"/>
    <x v="0"/>
  </r>
  <r>
    <x v="158"/>
    <x v="116"/>
    <x v="2"/>
    <x v="3"/>
    <x v="247"/>
    <x v="336"/>
    <x v="131"/>
    <x v="33"/>
    <x v="128"/>
    <x v="127"/>
    <x v="0"/>
    <x v="0"/>
    <x v="0"/>
    <x v="0"/>
    <x v="0"/>
    <x v="0"/>
    <x v="0"/>
  </r>
  <r>
    <x v="381"/>
    <x v="116"/>
    <x v="1"/>
    <x v="1"/>
    <x v="266"/>
    <x v="238"/>
    <x v="438"/>
    <x v="359"/>
    <x v="273"/>
    <x v="450"/>
    <x v="0"/>
    <x v="0"/>
    <x v="0"/>
    <x v="0"/>
    <x v="0"/>
    <x v="0"/>
    <x v="0"/>
  </r>
  <r>
    <x v="420"/>
    <x v="117"/>
    <x v="4"/>
    <x v="3"/>
    <x v="128"/>
    <x v="163"/>
    <x v="97"/>
    <x v="1"/>
    <x v="29"/>
    <x v="37"/>
    <x v="0"/>
    <x v="0"/>
    <x v="0"/>
    <x v="0"/>
    <x v="0"/>
    <x v="0"/>
    <x v="0"/>
  </r>
  <r>
    <x v="83"/>
    <x v="117"/>
    <x v="1"/>
    <x v="3"/>
    <x v="420"/>
    <x v="390"/>
    <x v="117"/>
    <x v="266"/>
    <x v="289"/>
    <x v="410"/>
    <x v="0"/>
    <x v="0"/>
    <x v="0"/>
    <x v="0"/>
    <x v="0"/>
    <x v="0"/>
    <x v="0"/>
  </r>
  <r>
    <x v="340"/>
    <x v="117"/>
    <x v="0"/>
    <x v="0"/>
    <x v="341"/>
    <x v="306"/>
    <x v="90"/>
    <x v="272"/>
    <x v="194"/>
    <x v="381"/>
    <x v="0"/>
    <x v="0"/>
    <x v="0"/>
    <x v="0"/>
    <x v="0"/>
    <x v="0"/>
    <x v="0"/>
  </r>
  <r>
    <x v="43"/>
    <x v="117"/>
    <x v="3"/>
    <x v="0"/>
    <x v="239"/>
    <x v="229"/>
    <x v="171"/>
    <x v="257"/>
    <x v="110"/>
    <x v="134"/>
    <x v="0"/>
    <x v="0"/>
    <x v="0"/>
    <x v="0"/>
    <x v="0"/>
    <x v="0"/>
    <x v="0"/>
  </r>
  <r>
    <x v="415"/>
    <x v="117"/>
    <x v="3"/>
    <x v="1"/>
    <x v="300"/>
    <x v="244"/>
    <x v="144"/>
    <x v="234"/>
    <x v="102"/>
    <x v="93"/>
    <x v="0"/>
    <x v="0"/>
    <x v="0"/>
    <x v="0"/>
    <x v="0"/>
    <x v="0"/>
    <x v="0"/>
  </r>
  <r>
    <x v="283"/>
    <x v="117"/>
    <x v="1"/>
    <x v="0"/>
    <x v="279"/>
    <x v="219"/>
    <x v="77"/>
    <x v="246"/>
    <x v="2"/>
    <x v="25"/>
    <x v="0"/>
    <x v="0"/>
    <x v="0"/>
    <x v="0"/>
    <x v="0"/>
    <x v="0"/>
    <x v="0"/>
  </r>
  <r>
    <x v="239"/>
    <x v="117"/>
    <x v="2"/>
    <x v="1"/>
    <x v="477"/>
    <x v="407"/>
    <x v="107"/>
    <x v="152"/>
    <x v="178"/>
    <x v="340"/>
    <x v="0"/>
    <x v="0"/>
    <x v="0"/>
    <x v="0"/>
    <x v="0"/>
    <x v="0"/>
    <x v="0"/>
  </r>
  <r>
    <x v="131"/>
    <x v="118"/>
    <x v="0"/>
    <x v="2"/>
    <x v="384"/>
    <x v="356"/>
    <x v="302"/>
    <x v="390"/>
    <x v="106"/>
    <x v="266"/>
    <x v="0"/>
    <x v="0"/>
    <x v="0"/>
    <x v="0"/>
    <x v="0"/>
    <x v="0"/>
    <x v="0"/>
  </r>
  <r>
    <x v="5"/>
    <x v="118"/>
    <x v="2"/>
    <x v="2"/>
    <x v="83"/>
    <x v="69"/>
    <x v="255"/>
    <x v="377"/>
    <x v="314"/>
    <x v="454"/>
    <x v="0"/>
    <x v="0"/>
    <x v="0"/>
    <x v="0"/>
    <x v="0"/>
    <x v="0"/>
    <x v="0"/>
  </r>
  <r>
    <x v="362"/>
    <x v="119"/>
    <x v="4"/>
    <x v="3"/>
    <x v="288"/>
    <x v="245"/>
    <x v="10"/>
    <x v="125"/>
    <x v="210"/>
    <x v="401"/>
    <x v="0"/>
    <x v="0"/>
    <x v="0"/>
    <x v="0"/>
    <x v="0"/>
    <x v="0"/>
    <x v="0"/>
  </r>
  <r>
    <x v="184"/>
    <x v="119"/>
    <x v="1"/>
    <x v="2"/>
    <x v="261"/>
    <x v="283"/>
    <x v="271"/>
    <x v="364"/>
    <x v="74"/>
    <x v="189"/>
    <x v="0"/>
    <x v="0"/>
    <x v="0"/>
    <x v="0"/>
    <x v="0"/>
    <x v="0"/>
    <x v="0"/>
  </r>
  <r>
    <x v="261"/>
    <x v="119"/>
    <x v="1"/>
    <x v="3"/>
    <x v="157"/>
    <x v="126"/>
    <x v="461"/>
    <x v="341"/>
    <x v="62"/>
    <x v="170"/>
    <x v="0"/>
    <x v="0"/>
    <x v="0"/>
    <x v="0"/>
    <x v="0"/>
    <x v="0"/>
    <x v="0"/>
  </r>
  <r>
    <x v="438"/>
    <x v="119"/>
    <x v="3"/>
    <x v="3"/>
    <x v="212"/>
    <x v="237"/>
    <x v="290"/>
    <x v="259"/>
    <x v="281"/>
    <x v="427"/>
    <x v="0"/>
    <x v="0"/>
    <x v="0"/>
    <x v="0"/>
    <x v="0"/>
    <x v="0"/>
    <x v="0"/>
  </r>
  <r>
    <x v="176"/>
    <x v="120"/>
    <x v="0"/>
    <x v="1"/>
    <x v="22"/>
    <x v="51"/>
    <x v="213"/>
    <x v="261"/>
    <x v="157"/>
    <x v="312"/>
    <x v="0"/>
    <x v="0"/>
    <x v="0"/>
    <x v="0"/>
    <x v="0"/>
    <x v="0"/>
    <x v="0"/>
  </r>
  <r>
    <x v="87"/>
    <x v="120"/>
    <x v="2"/>
    <x v="1"/>
    <x v="494"/>
    <x v="416"/>
    <x v="359"/>
    <x v="73"/>
    <x v="16"/>
    <x v="36"/>
    <x v="0"/>
    <x v="0"/>
    <x v="0"/>
    <x v="0"/>
    <x v="0"/>
    <x v="0"/>
    <x v="0"/>
  </r>
  <r>
    <x v="125"/>
    <x v="120"/>
    <x v="2"/>
    <x v="1"/>
    <x v="143"/>
    <x v="196"/>
    <x v="303"/>
    <x v="79"/>
    <x v="23"/>
    <x v="5"/>
    <x v="0"/>
    <x v="0"/>
    <x v="0"/>
    <x v="0"/>
    <x v="0"/>
    <x v="0"/>
    <x v="0"/>
  </r>
  <r>
    <x v="378"/>
    <x v="120"/>
    <x v="4"/>
    <x v="3"/>
    <x v="329"/>
    <x v="258"/>
    <x v="219"/>
    <x v="372"/>
    <x v="215"/>
    <x v="394"/>
    <x v="0"/>
    <x v="0"/>
    <x v="0"/>
    <x v="0"/>
    <x v="0"/>
    <x v="0"/>
    <x v="0"/>
  </r>
  <r>
    <x v="23"/>
    <x v="120"/>
    <x v="2"/>
    <x v="2"/>
    <x v="490"/>
    <x v="487"/>
    <x v="279"/>
    <x v="355"/>
    <x v="136"/>
    <x v="174"/>
    <x v="0"/>
    <x v="0"/>
    <x v="0"/>
    <x v="0"/>
    <x v="0"/>
    <x v="0"/>
    <x v="0"/>
  </r>
  <r>
    <x v="397"/>
    <x v="121"/>
    <x v="2"/>
    <x v="0"/>
    <x v="272"/>
    <x v="256"/>
    <x v="473"/>
    <x v="471"/>
    <x v="267"/>
    <x v="428"/>
    <x v="0"/>
    <x v="0"/>
    <x v="0"/>
    <x v="0"/>
    <x v="0"/>
    <x v="0"/>
    <x v="0"/>
  </r>
  <r>
    <x v="311"/>
    <x v="121"/>
    <x v="2"/>
    <x v="3"/>
    <x v="246"/>
    <x v="209"/>
    <x v="493"/>
    <x v="468"/>
    <x v="288"/>
    <x v="395"/>
    <x v="0"/>
    <x v="0"/>
    <x v="0"/>
    <x v="0"/>
    <x v="0"/>
    <x v="0"/>
    <x v="0"/>
  </r>
  <r>
    <x v="93"/>
    <x v="121"/>
    <x v="0"/>
    <x v="3"/>
    <x v="394"/>
    <x v="458"/>
    <x v="169"/>
    <x v="107"/>
    <x v="22"/>
    <x v="29"/>
    <x v="0"/>
    <x v="0"/>
    <x v="0"/>
    <x v="0"/>
    <x v="0"/>
    <x v="0"/>
    <x v="0"/>
  </r>
  <r>
    <x v="354"/>
    <x v="121"/>
    <x v="2"/>
    <x v="3"/>
    <x v="377"/>
    <x v="372"/>
    <x v="476"/>
    <x v="0"/>
    <x v="53"/>
    <x v="88"/>
    <x v="0"/>
    <x v="0"/>
    <x v="0"/>
    <x v="0"/>
    <x v="0"/>
    <x v="0"/>
    <x v="0"/>
  </r>
  <r>
    <x v="272"/>
    <x v="122"/>
    <x v="3"/>
    <x v="1"/>
    <x v="277"/>
    <x v="276"/>
    <x v="5"/>
    <x v="20"/>
    <x v="41"/>
    <x v="26"/>
    <x v="0"/>
    <x v="0"/>
    <x v="0"/>
    <x v="0"/>
    <x v="0"/>
    <x v="0"/>
    <x v="0"/>
  </r>
  <r>
    <x v="466"/>
    <x v="122"/>
    <x v="3"/>
    <x v="3"/>
    <x v="292"/>
    <x v="343"/>
    <x v="313"/>
    <x v="282"/>
    <x v="68"/>
    <x v="74"/>
    <x v="0"/>
    <x v="0"/>
    <x v="0"/>
    <x v="0"/>
    <x v="0"/>
    <x v="0"/>
    <x v="0"/>
  </r>
  <r>
    <x v="177"/>
    <x v="122"/>
    <x v="0"/>
    <x v="1"/>
    <x v="499"/>
    <x v="499"/>
    <x v="263"/>
    <x v="358"/>
    <x v="312"/>
    <x v="453"/>
    <x v="0"/>
    <x v="0"/>
    <x v="0"/>
    <x v="0"/>
    <x v="0"/>
    <x v="0"/>
    <x v="0"/>
  </r>
  <r>
    <x v="30"/>
    <x v="122"/>
    <x v="1"/>
    <x v="1"/>
    <x v="47"/>
    <x v="75"/>
    <x v="68"/>
    <x v="208"/>
    <x v="116"/>
    <x v="254"/>
    <x v="0"/>
    <x v="0"/>
    <x v="0"/>
    <x v="0"/>
    <x v="0"/>
    <x v="0"/>
    <x v="0"/>
  </r>
  <r>
    <x v="431"/>
    <x v="122"/>
    <x v="1"/>
    <x v="1"/>
    <x v="333"/>
    <x v="402"/>
    <x v="436"/>
    <x v="387"/>
    <x v="251"/>
    <x v="321"/>
    <x v="0"/>
    <x v="0"/>
    <x v="0"/>
    <x v="0"/>
    <x v="0"/>
    <x v="0"/>
    <x v="0"/>
  </r>
  <r>
    <x v="206"/>
    <x v="123"/>
    <x v="4"/>
    <x v="3"/>
    <x v="401"/>
    <x v="441"/>
    <x v="209"/>
    <x v="356"/>
    <x v="88"/>
    <x v="104"/>
    <x v="0"/>
    <x v="0"/>
    <x v="0"/>
    <x v="0"/>
    <x v="0"/>
    <x v="0"/>
    <x v="0"/>
  </r>
  <r>
    <x v="58"/>
    <x v="123"/>
    <x v="2"/>
    <x v="1"/>
    <x v="313"/>
    <x v="259"/>
    <x v="326"/>
    <x v="241"/>
    <x v="201"/>
    <x v="357"/>
    <x v="0"/>
    <x v="0"/>
    <x v="0"/>
    <x v="0"/>
    <x v="0"/>
    <x v="0"/>
    <x v="0"/>
  </r>
  <r>
    <x v="312"/>
    <x v="123"/>
    <x v="4"/>
    <x v="1"/>
    <x v="5"/>
    <x v="32"/>
    <x v="367"/>
    <x v="27"/>
    <x v="42"/>
    <x v="35"/>
    <x v="0"/>
    <x v="0"/>
    <x v="0"/>
    <x v="0"/>
    <x v="0"/>
    <x v="0"/>
    <x v="0"/>
  </r>
  <r>
    <x v="305"/>
    <x v="123"/>
    <x v="3"/>
    <x v="2"/>
    <x v="205"/>
    <x v="187"/>
    <x v="228"/>
    <x v="14"/>
    <x v="66"/>
    <x v="186"/>
    <x v="0"/>
    <x v="0"/>
    <x v="0"/>
    <x v="0"/>
    <x v="0"/>
    <x v="0"/>
    <x v="0"/>
  </r>
  <r>
    <x v="244"/>
    <x v="123"/>
    <x v="1"/>
    <x v="1"/>
    <x v="323"/>
    <x v="335"/>
    <x v="46"/>
    <x v="135"/>
    <x v="185"/>
    <x v="277"/>
    <x v="0"/>
    <x v="0"/>
    <x v="0"/>
    <x v="0"/>
    <x v="0"/>
    <x v="0"/>
    <x v="0"/>
  </r>
  <r>
    <x v="257"/>
    <x v="123"/>
    <x v="4"/>
    <x v="1"/>
    <x v="417"/>
    <x v="347"/>
    <x v="239"/>
    <x v="183"/>
    <x v="37"/>
    <x v="57"/>
    <x v="0"/>
    <x v="0"/>
    <x v="0"/>
    <x v="0"/>
    <x v="0"/>
    <x v="0"/>
    <x v="0"/>
  </r>
  <r>
    <x v="130"/>
    <x v="124"/>
    <x v="2"/>
    <x v="0"/>
    <x v="495"/>
    <x v="460"/>
    <x v="490"/>
    <x v="279"/>
    <x v="140"/>
    <x v="225"/>
    <x v="0"/>
    <x v="0"/>
    <x v="0"/>
    <x v="0"/>
    <x v="0"/>
    <x v="0"/>
    <x v="0"/>
  </r>
  <r>
    <x v="168"/>
    <x v="124"/>
    <x v="2"/>
    <x v="2"/>
    <x v="331"/>
    <x v="280"/>
    <x v="190"/>
    <x v="233"/>
    <x v="27"/>
    <x v="79"/>
    <x v="0"/>
    <x v="0"/>
    <x v="0"/>
    <x v="0"/>
    <x v="0"/>
    <x v="0"/>
    <x v="0"/>
  </r>
  <r>
    <x v="212"/>
    <x v="124"/>
    <x v="2"/>
    <x v="3"/>
    <x v="249"/>
    <x v="218"/>
    <x v="23"/>
    <x v="161"/>
    <x v="62"/>
    <x v="82"/>
    <x v="0"/>
    <x v="0"/>
    <x v="0"/>
    <x v="0"/>
    <x v="0"/>
    <x v="0"/>
    <x v="0"/>
  </r>
  <r>
    <x v="400"/>
    <x v="125"/>
    <x v="3"/>
    <x v="2"/>
    <x v="374"/>
    <x v="288"/>
    <x v="260"/>
    <x v="143"/>
    <x v="139"/>
    <x v="128"/>
    <x v="0"/>
    <x v="0"/>
    <x v="0"/>
    <x v="0"/>
    <x v="0"/>
    <x v="0"/>
    <x v="0"/>
  </r>
  <r>
    <x v="499"/>
    <x v="125"/>
    <x v="3"/>
    <x v="0"/>
    <x v="219"/>
    <x v="211"/>
    <x v="305"/>
    <x v="388"/>
    <x v="157"/>
    <x v="323"/>
    <x v="0"/>
    <x v="0"/>
    <x v="0"/>
    <x v="0"/>
    <x v="0"/>
    <x v="0"/>
    <x v="0"/>
  </r>
  <r>
    <x v="233"/>
    <x v="125"/>
    <x v="1"/>
    <x v="3"/>
    <x v="222"/>
    <x v="236"/>
    <x v="34"/>
    <x v="209"/>
    <x v="165"/>
    <x v="165"/>
    <x v="0"/>
    <x v="0"/>
    <x v="0"/>
    <x v="0"/>
    <x v="0"/>
    <x v="0"/>
    <x v="0"/>
  </r>
  <r>
    <x v="146"/>
    <x v="125"/>
    <x v="4"/>
    <x v="0"/>
    <x v="348"/>
    <x v="274"/>
    <x v="258"/>
    <x v="117"/>
    <x v="83"/>
    <x v="81"/>
    <x v="0"/>
    <x v="0"/>
    <x v="0"/>
    <x v="0"/>
    <x v="0"/>
    <x v="0"/>
    <x v="0"/>
  </r>
  <r>
    <x v="215"/>
    <x v="125"/>
    <x v="1"/>
    <x v="0"/>
    <x v="445"/>
    <x v="451"/>
    <x v="6"/>
    <x v="83"/>
    <x v="87"/>
    <x v="193"/>
    <x v="0"/>
    <x v="0"/>
    <x v="0"/>
    <x v="0"/>
    <x v="0"/>
    <x v="0"/>
    <x v="0"/>
  </r>
  <r>
    <x v="57"/>
    <x v="126"/>
    <x v="3"/>
    <x v="0"/>
    <x v="4"/>
    <x v="9"/>
    <x v="114"/>
    <x v="234"/>
    <x v="206"/>
    <x v="270"/>
    <x v="0"/>
    <x v="0"/>
    <x v="0"/>
    <x v="0"/>
    <x v="0"/>
    <x v="0"/>
    <x v="0"/>
  </r>
  <r>
    <x v="248"/>
    <x v="127"/>
    <x v="0"/>
    <x v="3"/>
    <x v="107"/>
    <x v="149"/>
    <x v="133"/>
    <x v="284"/>
    <x v="253"/>
    <x v="375"/>
    <x v="0"/>
    <x v="0"/>
    <x v="0"/>
    <x v="0"/>
    <x v="0"/>
    <x v="0"/>
    <x v="0"/>
  </r>
  <r>
    <x v="479"/>
    <x v="127"/>
    <x v="1"/>
    <x v="3"/>
    <x v="346"/>
    <x v="296"/>
    <x v="402"/>
    <x v="467"/>
    <x v="195"/>
    <x v="350"/>
    <x v="0"/>
    <x v="0"/>
    <x v="0"/>
    <x v="0"/>
    <x v="0"/>
    <x v="0"/>
    <x v="0"/>
  </r>
  <r>
    <x v="106"/>
    <x v="128"/>
    <x v="2"/>
    <x v="2"/>
    <x v="64"/>
    <x v="50"/>
    <x v="283"/>
    <x v="303"/>
    <x v="262"/>
    <x v="404"/>
    <x v="0"/>
    <x v="0"/>
    <x v="0"/>
    <x v="0"/>
    <x v="0"/>
    <x v="0"/>
    <x v="0"/>
  </r>
  <r>
    <x v="258"/>
    <x v="128"/>
    <x v="4"/>
    <x v="1"/>
    <x v="395"/>
    <x v="330"/>
    <x v="364"/>
    <x v="423"/>
    <x v="223"/>
    <x v="288"/>
    <x v="0"/>
    <x v="0"/>
    <x v="0"/>
    <x v="0"/>
    <x v="0"/>
    <x v="0"/>
    <x v="0"/>
  </r>
  <r>
    <x v="434"/>
    <x v="128"/>
    <x v="3"/>
    <x v="3"/>
    <x v="21"/>
    <x v="26"/>
    <x v="431"/>
    <x v="274"/>
    <x v="189"/>
    <x v="349"/>
    <x v="0"/>
    <x v="0"/>
    <x v="0"/>
    <x v="0"/>
    <x v="0"/>
    <x v="0"/>
    <x v="0"/>
  </r>
  <r>
    <x v="230"/>
    <x v="128"/>
    <x v="4"/>
    <x v="1"/>
    <x v="146"/>
    <x v="142"/>
    <x v="282"/>
    <x v="134"/>
    <x v="214"/>
    <x v="338"/>
    <x v="0"/>
    <x v="0"/>
    <x v="0"/>
    <x v="0"/>
    <x v="0"/>
    <x v="0"/>
    <x v="0"/>
  </r>
  <r>
    <x v="483"/>
    <x v="129"/>
    <x v="0"/>
    <x v="2"/>
    <x v="328"/>
    <x v="341"/>
    <x v="344"/>
    <x v="271"/>
    <x v="276"/>
    <x v="433"/>
    <x v="0"/>
    <x v="0"/>
    <x v="0"/>
    <x v="0"/>
    <x v="0"/>
    <x v="0"/>
    <x v="0"/>
  </r>
  <r>
    <x v="108"/>
    <x v="129"/>
    <x v="4"/>
    <x v="1"/>
    <x v="474"/>
    <x v="483"/>
    <x v="323"/>
    <x v="179"/>
    <x v="178"/>
    <x v="301"/>
    <x v="0"/>
    <x v="0"/>
    <x v="0"/>
    <x v="0"/>
    <x v="0"/>
    <x v="0"/>
    <x v="0"/>
  </r>
  <r>
    <x v="492"/>
    <x v="130"/>
    <x v="4"/>
    <x v="0"/>
    <x v="403"/>
    <x v="444"/>
    <x v="4"/>
    <x v="61"/>
    <x v="58"/>
    <x v="137"/>
    <x v="0"/>
    <x v="0"/>
    <x v="0"/>
    <x v="0"/>
    <x v="0"/>
    <x v="0"/>
    <x v="0"/>
  </r>
  <r>
    <x v="195"/>
    <x v="130"/>
    <x v="3"/>
    <x v="3"/>
    <x v="110"/>
    <x v="70"/>
    <x v="241"/>
    <x v="281"/>
    <x v="220"/>
    <x v="262"/>
    <x v="0"/>
    <x v="0"/>
    <x v="0"/>
    <x v="0"/>
    <x v="0"/>
    <x v="0"/>
    <x v="0"/>
  </r>
  <r>
    <x v="461"/>
    <x v="130"/>
    <x v="2"/>
    <x v="2"/>
    <x v="124"/>
    <x v="134"/>
    <x v="254"/>
    <x v="67"/>
    <x v="142"/>
    <x v="216"/>
    <x v="0"/>
    <x v="0"/>
    <x v="0"/>
    <x v="0"/>
    <x v="0"/>
    <x v="0"/>
    <x v="0"/>
  </r>
  <r>
    <x v="351"/>
    <x v="130"/>
    <x v="1"/>
    <x v="3"/>
    <x v="398"/>
    <x v="475"/>
    <x v="180"/>
    <x v="316"/>
    <x v="66"/>
    <x v="98"/>
    <x v="0"/>
    <x v="0"/>
    <x v="0"/>
    <x v="0"/>
    <x v="0"/>
    <x v="0"/>
    <x v="0"/>
  </r>
  <r>
    <x v="268"/>
    <x v="130"/>
    <x v="2"/>
    <x v="0"/>
    <x v="198"/>
    <x v="232"/>
    <x v="487"/>
    <x v="413"/>
    <x v="309"/>
    <x v="477"/>
    <x v="0"/>
    <x v="0"/>
    <x v="0"/>
    <x v="0"/>
    <x v="0"/>
    <x v="0"/>
    <x v="0"/>
  </r>
  <r>
    <x v="333"/>
    <x v="131"/>
    <x v="0"/>
    <x v="1"/>
    <x v="211"/>
    <x v="174"/>
    <x v="217"/>
    <x v="162"/>
    <x v="66"/>
    <x v="120"/>
    <x v="0"/>
    <x v="0"/>
    <x v="0"/>
    <x v="0"/>
    <x v="0"/>
    <x v="0"/>
    <x v="0"/>
  </r>
  <r>
    <x v="126"/>
    <x v="131"/>
    <x v="1"/>
    <x v="2"/>
    <x v="406"/>
    <x v="367"/>
    <x v="38"/>
    <x v="25"/>
    <x v="127"/>
    <x v="135"/>
    <x v="0"/>
    <x v="0"/>
    <x v="0"/>
    <x v="0"/>
    <x v="0"/>
    <x v="0"/>
    <x v="0"/>
  </r>
  <r>
    <x v="396"/>
    <x v="131"/>
    <x v="3"/>
    <x v="2"/>
    <x v="138"/>
    <x v="170"/>
    <x v="69"/>
    <x v="49"/>
    <x v="70"/>
    <x v="62"/>
    <x v="0"/>
    <x v="0"/>
    <x v="0"/>
    <x v="0"/>
    <x v="0"/>
    <x v="0"/>
    <x v="0"/>
  </r>
  <r>
    <x v="478"/>
    <x v="132"/>
    <x v="2"/>
    <x v="2"/>
    <x v="56"/>
    <x v="22"/>
    <x v="440"/>
    <x v="283"/>
    <x v="70"/>
    <x v="95"/>
    <x v="0"/>
    <x v="0"/>
    <x v="0"/>
    <x v="0"/>
    <x v="0"/>
    <x v="0"/>
    <x v="0"/>
  </r>
  <r>
    <x v="159"/>
    <x v="132"/>
    <x v="1"/>
    <x v="1"/>
    <x v="262"/>
    <x v="349"/>
    <x v="252"/>
    <x v="229"/>
    <x v="272"/>
    <x v="416"/>
    <x v="0"/>
    <x v="0"/>
    <x v="0"/>
    <x v="0"/>
    <x v="0"/>
    <x v="0"/>
    <x v="0"/>
  </r>
  <r>
    <x v="94"/>
    <x v="133"/>
    <x v="3"/>
    <x v="2"/>
    <x v="180"/>
    <x v="129"/>
    <x v="381"/>
    <x v="189"/>
    <x v="22"/>
    <x v="45"/>
    <x v="0"/>
    <x v="0"/>
    <x v="0"/>
    <x v="0"/>
    <x v="0"/>
    <x v="0"/>
    <x v="0"/>
  </r>
  <r>
    <x v="498"/>
    <x v="133"/>
    <x v="4"/>
    <x v="2"/>
    <x v="283"/>
    <x v="327"/>
    <x v="62"/>
    <x v="237"/>
    <x v="275"/>
    <x v="432"/>
    <x v="0"/>
    <x v="0"/>
    <x v="0"/>
    <x v="0"/>
    <x v="0"/>
    <x v="0"/>
    <x v="0"/>
  </r>
  <r>
    <x v="203"/>
    <x v="134"/>
    <x v="4"/>
    <x v="3"/>
    <x v="334"/>
    <x v="255"/>
    <x v="164"/>
    <x v="70"/>
    <x v="44"/>
    <x v="109"/>
    <x v="0"/>
    <x v="0"/>
    <x v="0"/>
    <x v="0"/>
    <x v="0"/>
    <x v="0"/>
    <x v="0"/>
  </r>
  <r>
    <x v="50"/>
    <x v="134"/>
    <x v="3"/>
    <x v="2"/>
    <x v="456"/>
    <x v="405"/>
    <x v="375"/>
    <x v="102"/>
    <x v="171"/>
    <x v="205"/>
    <x v="0"/>
    <x v="0"/>
    <x v="0"/>
    <x v="0"/>
    <x v="0"/>
    <x v="0"/>
    <x v="0"/>
  </r>
  <r>
    <x v="0"/>
    <x v="134"/>
    <x v="1"/>
    <x v="0"/>
    <x v="177"/>
    <x v="234"/>
    <x v="236"/>
    <x v="393"/>
    <x v="333"/>
    <x v="488"/>
    <x v="0"/>
    <x v="0"/>
    <x v="0"/>
    <x v="0"/>
    <x v="0"/>
    <x v="0"/>
    <x v="0"/>
  </r>
  <r>
    <x v="172"/>
    <x v="135"/>
    <x v="3"/>
    <x v="1"/>
    <x v="181"/>
    <x v="220"/>
    <x v="289"/>
    <x v="264"/>
    <x v="55"/>
    <x v="156"/>
    <x v="0"/>
    <x v="0"/>
    <x v="0"/>
    <x v="0"/>
    <x v="0"/>
    <x v="0"/>
    <x v="0"/>
  </r>
  <r>
    <x v="473"/>
    <x v="136"/>
    <x v="2"/>
    <x v="2"/>
    <x v="466"/>
    <x v="428"/>
    <x v="33"/>
    <x v="147"/>
    <x v="141"/>
    <x v="253"/>
    <x v="0"/>
    <x v="0"/>
    <x v="0"/>
    <x v="0"/>
    <x v="0"/>
    <x v="0"/>
    <x v="0"/>
  </r>
  <r>
    <x v="314"/>
    <x v="137"/>
    <x v="4"/>
    <x v="0"/>
    <x v="316"/>
    <x v="385"/>
    <x v="156"/>
    <x v="362"/>
    <x v="122"/>
    <x v="143"/>
    <x v="0"/>
    <x v="0"/>
    <x v="0"/>
    <x v="0"/>
    <x v="0"/>
    <x v="0"/>
    <x v="0"/>
  </r>
  <r>
    <x v="160"/>
    <x v="137"/>
    <x v="1"/>
    <x v="2"/>
    <x v="304"/>
    <x v="346"/>
    <x v="231"/>
    <x v="404"/>
    <x v="259"/>
    <x v="393"/>
    <x v="0"/>
    <x v="0"/>
    <x v="0"/>
    <x v="0"/>
    <x v="0"/>
    <x v="0"/>
    <x v="0"/>
  </r>
  <r>
    <x v="120"/>
    <x v="138"/>
    <x v="1"/>
    <x v="1"/>
    <x v="185"/>
    <x v="208"/>
    <x v="336"/>
    <x v="169"/>
    <x v="235"/>
    <x v="354"/>
    <x v="0"/>
    <x v="0"/>
    <x v="0"/>
    <x v="0"/>
    <x v="0"/>
    <x v="0"/>
    <x v="0"/>
  </r>
  <r>
    <x v="341"/>
    <x v="138"/>
    <x v="3"/>
    <x v="1"/>
    <x v="485"/>
    <x v="496"/>
    <x v="488"/>
    <x v="339"/>
    <x v="286"/>
    <x v="424"/>
    <x v="0"/>
    <x v="0"/>
    <x v="0"/>
    <x v="0"/>
    <x v="0"/>
    <x v="0"/>
    <x v="0"/>
  </r>
  <r>
    <x v="21"/>
    <x v="138"/>
    <x v="2"/>
    <x v="3"/>
    <x v="166"/>
    <x v="140"/>
    <x v="363"/>
    <x v="81"/>
    <x v="161"/>
    <x v="279"/>
    <x v="0"/>
    <x v="0"/>
    <x v="0"/>
    <x v="0"/>
    <x v="0"/>
    <x v="0"/>
    <x v="0"/>
  </r>
  <r>
    <x v="89"/>
    <x v="138"/>
    <x v="0"/>
    <x v="0"/>
    <x v="345"/>
    <x v="322"/>
    <x v="278"/>
    <x v="46"/>
    <x v="96"/>
    <x v="132"/>
    <x v="0"/>
    <x v="0"/>
    <x v="0"/>
    <x v="0"/>
    <x v="0"/>
    <x v="0"/>
    <x v="0"/>
  </r>
  <r>
    <x v="148"/>
    <x v="138"/>
    <x v="0"/>
    <x v="1"/>
    <x v="405"/>
    <x v="472"/>
    <x v="379"/>
    <x v="447"/>
    <x v="339"/>
    <x v="495"/>
    <x v="0"/>
    <x v="0"/>
    <x v="0"/>
    <x v="0"/>
    <x v="0"/>
    <x v="0"/>
    <x v="0"/>
  </r>
  <r>
    <x v="44"/>
    <x v="139"/>
    <x v="4"/>
    <x v="2"/>
    <x v="48"/>
    <x v="38"/>
    <x v="365"/>
    <x v="48"/>
    <x v="32"/>
    <x v="103"/>
    <x v="0"/>
    <x v="0"/>
    <x v="0"/>
    <x v="0"/>
    <x v="0"/>
    <x v="0"/>
    <x v="0"/>
  </r>
  <r>
    <x v="156"/>
    <x v="139"/>
    <x v="0"/>
    <x v="3"/>
    <x v="101"/>
    <x v="153"/>
    <x v="377"/>
    <x v="325"/>
    <x v="46"/>
    <x v="27"/>
    <x v="0"/>
    <x v="0"/>
    <x v="0"/>
    <x v="0"/>
    <x v="0"/>
    <x v="0"/>
    <x v="0"/>
  </r>
  <r>
    <x v="71"/>
    <x v="139"/>
    <x v="3"/>
    <x v="1"/>
    <x v="102"/>
    <x v="127"/>
    <x v="82"/>
    <x v="35"/>
    <x v="60"/>
    <x v="73"/>
    <x v="0"/>
    <x v="0"/>
    <x v="0"/>
    <x v="0"/>
    <x v="0"/>
    <x v="0"/>
    <x v="0"/>
  </r>
  <r>
    <x v="373"/>
    <x v="139"/>
    <x v="2"/>
    <x v="3"/>
    <x v="52"/>
    <x v="94"/>
    <x v="443"/>
    <x v="407"/>
    <x v="280"/>
    <x v="456"/>
    <x v="0"/>
    <x v="0"/>
    <x v="0"/>
    <x v="0"/>
    <x v="0"/>
    <x v="0"/>
    <x v="0"/>
  </r>
  <r>
    <x v="395"/>
    <x v="140"/>
    <x v="0"/>
    <x v="2"/>
    <x v="467"/>
    <x v="481"/>
    <x v="387"/>
    <x v="262"/>
    <x v="285"/>
    <x v="344"/>
    <x v="0"/>
    <x v="0"/>
    <x v="0"/>
    <x v="0"/>
    <x v="0"/>
    <x v="0"/>
    <x v="0"/>
  </r>
  <r>
    <x v="455"/>
    <x v="140"/>
    <x v="1"/>
    <x v="1"/>
    <x v="53"/>
    <x v="82"/>
    <x v="469"/>
    <x v="323"/>
    <x v="33"/>
    <x v="100"/>
    <x v="0"/>
    <x v="0"/>
    <x v="0"/>
    <x v="0"/>
    <x v="0"/>
    <x v="0"/>
    <x v="0"/>
  </r>
  <r>
    <x v="139"/>
    <x v="141"/>
    <x v="0"/>
    <x v="1"/>
    <x v="149"/>
    <x v="179"/>
    <x v="30"/>
    <x v="77"/>
    <x v="30"/>
    <x v="77"/>
    <x v="0"/>
    <x v="0"/>
    <x v="0"/>
    <x v="0"/>
    <x v="0"/>
    <x v="0"/>
    <x v="0"/>
  </r>
  <r>
    <x v="379"/>
    <x v="141"/>
    <x v="1"/>
    <x v="0"/>
    <x v="229"/>
    <x v="235"/>
    <x v="447"/>
    <x v="438"/>
    <x v="253"/>
    <x v="402"/>
    <x v="0"/>
    <x v="0"/>
    <x v="0"/>
    <x v="0"/>
    <x v="0"/>
    <x v="0"/>
    <x v="0"/>
  </r>
  <r>
    <x v="141"/>
    <x v="141"/>
    <x v="2"/>
    <x v="1"/>
    <x v="228"/>
    <x v="177"/>
    <x v="175"/>
    <x v="344"/>
    <x v="319"/>
    <x v="460"/>
    <x v="0"/>
    <x v="0"/>
    <x v="0"/>
    <x v="0"/>
    <x v="0"/>
    <x v="0"/>
    <x v="0"/>
  </r>
  <r>
    <x v="338"/>
    <x v="142"/>
    <x v="2"/>
    <x v="0"/>
    <x v="347"/>
    <x v="431"/>
    <x v="60"/>
    <x v="252"/>
    <x v="144"/>
    <x v="180"/>
    <x v="0"/>
    <x v="0"/>
    <x v="0"/>
    <x v="0"/>
    <x v="0"/>
    <x v="0"/>
    <x v="0"/>
  </r>
  <r>
    <x v="293"/>
    <x v="143"/>
    <x v="0"/>
    <x v="0"/>
    <x v="100"/>
    <x v="80"/>
    <x v="467"/>
    <x v="278"/>
    <x v="109"/>
    <x v="233"/>
    <x v="0"/>
    <x v="0"/>
    <x v="0"/>
    <x v="0"/>
    <x v="0"/>
    <x v="0"/>
    <x v="0"/>
  </r>
  <r>
    <x v="145"/>
    <x v="143"/>
    <x v="3"/>
    <x v="3"/>
    <x v="343"/>
    <x v="270"/>
    <x v="116"/>
    <x v="44"/>
    <x v="75"/>
    <x v="181"/>
    <x v="0"/>
    <x v="0"/>
    <x v="0"/>
    <x v="0"/>
    <x v="0"/>
    <x v="0"/>
    <x v="0"/>
  </r>
  <r>
    <x v="300"/>
    <x v="143"/>
    <x v="3"/>
    <x v="1"/>
    <x v="91"/>
    <x v="52"/>
    <x v="468"/>
    <x v="254"/>
    <x v="250"/>
    <x v="309"/>
    <x v="0"/>
    <x v="0"/>
    <x v="0"/>
    <x v="0"/>
    <x v="0"/>
    <x v="0"/>
    <x v="0"/>
  </r>
  <r>
    <x v="310"/>
    <x v="144"/>
    <x v="4"/>
    <x v="1"/>
    <x v="54"/>
    <x v="95"/>
    <x v="249"/>
    <x v="14"/>
    <x v="29"/>
    <x v="97"/>
    <x v="0"/>
    <x v="0"/>
    <x v="0"/>
    <x v="0"/>
    <x v="0"/>
    <x v="0"/>
    <x v="0"/>
  </r>
  <r>
    <x v="175"/>
    <x v="144"/>
    <x v="0"/>
    <x v="0"/>
    <x v="220"/>
    <x v="214"/>
    <x v="66"/>
    <x v="19"/>
    <x v="103"/>
    <x v="136"/>
    <x v="0"/>
    <x v="0"/>
    <x v="0"/>
    <x v="0"/>
    <x v="0"/>
    <x v="0"/>
    <x v="0"/>
  </r>
  <r>
    <x v="221"/>
    <x v="144"/>
    <x v="2"/>
    <x v="2"/>
    <x v="109"/>
    <x v="73"/>
    <x v="492"/>
    <x v="459"/>
    <x v="250"/>
    <x v="304"/>
    <x v="0"/>
    <x v="0"/>
    <x v="0"/>
    <x v="0"/>
    <x v="0"/>
    <x v="0"/>
    <x v="0"/>
  </r>
  <r>
    <x v="292"/>
    <x v="145"/>
    <x v="0"/>
    <x v="2"/>
    <x v="353"/>
    <x v="392"/>
    <x v="378"/>
    <x v="440"/>
    <x v="209"/>
    <x v="222"/>
    <x v="0"/>
    <x v="0"/>
    <x v="0"/>
    <x v="0"/>
    <x v="0"/>
    <x v="0"/>
    <x v="0"/>
  </r>
  <r>
    <x v="17"/>
    <x v="145"/>
    <x v="2"/>
    <x v="3"/>
    <x v="383"/>
    <x v="457"/>
    <x v="424"/>
    <x v="185"/>
    <x v="179"/>
    <x v="364"/>
    <x v="0"/>
    <x v="0"/>
    <x v="0"/>
    <x v="0"/>
    <x v="0"/>
    <x v="0"/>
    <x v="0"/>
  </r>
  <r>
    <x v="98"/>
    <x v="145"/>
    <x v="3"/>
    <x v="3"/>
    <x v="49"/>
    <x v="60"/>
    <x v="265"/>
    <x v="221"/>
    <x v="222"/>
    <x v="389"/>
    <x v="0"/>
    <x v="0"/>
    <x v="0"/>
    <x v="0"/>
    <x v="0"/>
    <x v="0"/>
    <x v="0"/>
  </r>
  <r>
    <x v="4"/>
    <x v="145"/>
    <x v="3"/>
    <x v="0"/>
    <x v="415"/>
    <x v="357"/>
    <x v="462"/>
    <x v="474"/>
    <x v="221"/>
    <x v="276"/>
    <x v="0"/>
    <x v="0"/>
    <x v="0"/>
    <x v="0"/>
    <x v="0"/>
    <x v="0"/>
    <x v="0"/>
  </r>
  <r>
    <x v="229"/>
    <x v="146"/>
    <x v="4"/>
    <x v="2"/>
    <x v="132"/>
    <x v="167"/>
    <x v="335"/>
    <x v="62"/>
    <x v="5"/>
    <x v="3"/>
    <x v="0"/>
    <x v="0"/>
    <x v="0"/>
    <x v="0"/>
    <x v="0"/>
    <x v="0"/>
    <x v="0"/>
  </r>
  <r>
    <x v="149"/>
    <x v="147"/>
    <x v="3"/>
    <x v="3"/>
    <x v="370"/>
    <x v="350"/>
    <x v="352"/>
    <x v="450"/>
    <x v="293"/>
    <x v="353"/>
    <x v="0"/>
    <x v="0"/>
    <x v="0"/>
    <x v="0"/>
    <x v="0"/>
    <x v="0"/>
    <x v="0"/>
  </r>
  <r>
    <x v="335"/>
    <x v="147"/>
    <x v="1"/>
    <x v="1"/>
    <x v="318"/>
    <x v="363"/>
    <x v="221"/>
    <x v="244"/>
    <x v="100"/>
    <x v="247"/>
    <x v="0"/>
    <x v="0"/>
    <x v="0"/>
    <x v="0"/>
    <x v="0"/>
    <x v="0"/>
    <x v="0"/>
  </r>
  <r>
    <x v="361"/>
    <x v="147"/>
    <x v="4"/>
    <x v="3"/>
    <x v="441"/>
    <x v="484"/>
    <x v="128"/>
    <x v="115"/>
    <x v="10"/>
    <x v="22"/>
    <x v="0"/>
    <x v="0"/>
    <x v="0"/>
    <x v="0"/>
    <x v="0"/>
    <x v="0"/>
    <x v="0"/>
  </r>
  <r>
    <x v="414"/>
    <x v="147"/>
    <x v="2"/>
    <x v="2"/>
    <x v="380"/>
    <x v="440"/>
    <x v="422"/>
    <x v="145"/>
    <x v="72"/>
    <x v="163"/>
    <x v="0"/>
    <x v="0"/>
    <x v="0"/>
    <x v="0"/>
    <x v="0"/>
    <x v="0"/>
    <x v="0"/>
  </r>
  <r>
    <x v="211"/>
    <x v="147"/>
    <x v="2"/>
    <x v="0"/>
    <x v="248"/>
    <x v="202"/>
    <x v="229"/>
    <x v="168"/>
    <x v="210"/>
    <x v="318"/>
    <x v="0"/>
    <x v="0"/>
    <x v="0"/>
    <x v="0"/>
    <x v="0"/>
    <x v="0"/>
    <x v="0"/>
  </r>
  <r>
    <x v="334"/>
    <x v="148"/>
    <x v="0"/>
    <x v="2"/>
    <x v="435"/>
    <x v="469"/>
    <x v="390"/>
    <x v="96"/>
    <x v="144"/>
    <x v="295"/>
    <x v="0"/>
    <x v="0"/>
    <x v="0"/>
    <x v="0"/>
    <x v="0"/>
    <x v="0"/>
    <x v="0"/>
  </r>
  <r>
    <x v="422"/>
    <x v="149"/>
    <x v="2"/>
    <x v="0"/>
    <x v="189"/>
    <x v="192"/>
    <x v="63"/>
    <x v="112"/>
    <x v="169"/>
    <x v="296"/>
    <x v="0"/>
    <x v="0"/>
    <x v="0"/>
    <x v="0"/>
    <x v="0"/>
    <x v="0"/>
    <x v="0"/>
  </r>
  <r>
    <x v="207"/>
    <x v="150"/>
    <x v="2"/>
    <x v="2"/>
    <x v="92"/>
    <x v="89"/>
    <x v="457"/>
    <x v="78"/>
    <x v="94"/>
    <x v="164"/>
    <x v="0"/>
    <x v="0"/>
    <x v="0"/>
    <x v="0"/>
    <x v="0"/>
    <x v="0"/>
    <x v="0"/>
  </r>
  <r>
    <x v="232"/>
    <x v="150"/>
    <x v="3"/>
    <x v="2"/>
    <x v="136"/>
    <x v="143"/>
    <x v="86"/>
    <x v="260"/>
    <x v="113"/>
    <x v="126"/>
    <x v="0"/>
    <x v="0"/>
    <x v="0"/>
    <x v="0"/>
    <x v="0"/>
    <x v="0"/>
    <x v="0"/>
  </r>
  <r>
    <x v="412"/>
    <x v="150"/>
    <x v="4"/>
    <x v="2"/>
    <x v="427"/>
    <x v="426"/>
    <x v="208"/>
    <x v="370"/>
    <x v="277"/>
    <x v="455"/>
    <x v="0"/>
    <x v="0"/>
    <x v="0"/>
    <x v="0"/>
    <x v="0"/>
    <x v="0"/>
    <x v="0"/>
  </r>
  <r>
    <x v="281"/>
    <x v="151"/>
    <x v="3"/>
    <x v="0"/>
    <x v="475"/>
    <x v="412"/>
    <x v="246"/>
    <x v="162"/>
    <x v="108"/>
    <x v="176"/>
    <x v="0"/>
    <x v="0"/>
    <x v="0"/>
    <x v="0"/>
    <x v="0"/>
    <x v="0"/>
    <x v="0"/>
  </r>
  <r>
    <x v="119"/>
    <x v="151"/>
    <x v="2"/>
    <x v="0"/>
    <x v="275"/>
    <x v="366"/>
    <x v="245"/>
    <x v="263"/>
    <x v="245"/>
    <x v="391"/>
    <x v="0"/>
    <x v="0"/>
    <x v="0"/>
    <x v="0"/>
    <x v="0"/>
    <x v="0"/>
    <x v="0"/>
  </r>
  <r>
    <x v="264"/>
    <x v="151"/>
    <x v="0"/>
    <x v="3"/>
    <x v="237"/>
    <x v="263"/>
    <x v="253"/>
    <x v="324"/>
    <x v="283"/>
    <x v="319"/>
    <x v="0"/>
    <x v="0"/>
    <x v="0"/>
    <x v="0"/>
    <x v="0"/>
    <x v="0"/>
    <x v="0"/>
  </r>
  <r>
    <x v="346"/>
    <x v="151"/>
    <x v="0"/>
    <x v="1"/>
    <x v="25"/>
    <x v="15"/>
    <x v="27"/>
    <x v="7"/>
    <x v="97"/>
    <x v="185"/>
    <x v="0"/>
    <x v="0"/>
    <x v="0"/>
    <x v="0"/>
    <x v="0"/>
    <x v="0"/>
    <x v="0"/>
  </r>
  <r>
    <x v="45"/>
    <x v="151"/>
    <x v="4"/>
    <x v="2"/>
    <x v="144"/>
    <x v="158"/>
    <x v="211"/>
    <x v="343"/>
    <x v="235"/>
    <x v="397"/>
    <x v="0"/>
    <x v="0"/>
    <x v="0"/>
    <x v="0"/>
    <x v="0"/>
    <x v="0"/>
    <x v="0"/>
  </r>
  <r>
    <x v="266"/>
    <x v="152"/>
    <x v="1"/>
    <x v="1"/>
    <x v="339"/>
    <x v="423"/>
    <x v="331"/>
    <x v="375"/>
    <x v="210"/>
    <x v="372"/>
    <x v="0"/>
    <x v="0"/>
    <x v="0"/>
    <x v="0"/>
    <x v="0"/>
    <x v="0"/>
    <x v="0"/>
  </r>
  <r>
    <x v="328"/>
    <x v="152"/>
    <x v="3"/>
    <x v="1"/>
    <x v="357"/>
    <x v="365"/>
    <x v="99"/>
    <x v="137"/>
    <x v="144"/>
    <x v="283"/>
    <x v="0"/>
    <x v="0"/>
    <x v="0"/>
    <x v="0"/>
    <x v="0"/>
    <x v="0"/>
    <x v="0"/>
  </r>
  <r>
    <x v="448"/>
    <x v="152"/>
    <x v="0"/>
    <x v="1"/>
    <x v="366"/>
    <x v="355"/>
    <x v="409"/>
    <x v="464"/>
    <x v="35"/>
    <x v="49"/>
    <x v="0"/>
    <x v="0"/>
    <x v="0"/>
    <x v="0"/>
    <x v="0"/>
    <x v="0"/>
    <x v="0"/>
  </r>
  <r>
    <x v="427"/>
    <x v="153"/>
    <x v="2"/>
    <x v="0"/>
    <x v="344"/>
    <x v="362"/>
    <x v="148"/>
    <x v="188"/>
    <x v="209"/>
    <x v="212"/>
    <x v="0"/>
    <x v="0"/>
    <x v="0"/>
    <x v="0"/>
    <x v="0"/>
    <x v="0"/>
    <x v="0"/>
  </r>
  <r>
    <x v="493"/>
    <x v="153"/>
    <x v="0"/>
    <x v="0"/>
    <x v="204"/>
    <x v="251"/>
    <x v="370"/>
    <x v="448"/>
    <x v="247"/>
    <x v="293"/>
    <x v="0"/>
    <x v="0"/>
    <x v="0"/>
    <x v="0"/>
    <x v="0"/>
    <x v="0"/>
    <x v="0"/>
  </r>
  <r>
    <x v="241"/>
    <x v="153"/>
    <x v="4"/>
    <x v="2"/>
    <x v="365"/>
    <x v="389"/>
    <x v="366"/>
    <x v="269"/>
    <x v="260"/>
    <x v="439"/>
    <x v="0"/>
    <x v="0"/>
    <x v="0"/>
    <x v="0"/>
    <x v="0"/>
    <x v="0"/>
    <x v="0"/>
  </r>
  <r>
    <x v="142"/>
    <x v="154"/>
    <x v="4"/>
    <x v="1"/>
    <x v="209"/>
    <x v="269"/>
    <x v="339"/>
    <x v="172"/>
    <x v="229"/>
    <x v="329"/>
    <x v="0"/>
    <x v="0"/>
    <x v="0"/>
    <x v="0"/>
    <x v="0"/>
    <x v="0"/>
    <x v="0"/>
  </r>
  <r>
    <x v="407"/>
    <x v="154"/>
    <x v="0"/>
    <x v="2"/>
    <x v="62"/>
    <x v="63"/>
    <x v="47"/>
    <x v="198"/>
    <x v="227"/>
    <x v="415"/>
    <x v="0"/>
    <x v="0"/>
    <x v="0"/>
    <x v="0"/>
    <x v="0"/>
    <x v="0"/>
    <x v="0"/>
  </r>
  <r>
    <x v="320"/>
    <x v="154"/>
    <x v="0"/>
    <x v="3"/>
    <x v="30"/>
    <x v="43"/>
    <x v="310"/>
    <x v="426"/>
    <x v="164"/>
    <x v="230"/>
    <x v="0"/>
    <x v="0"/>
    <x v="0"/>
    <x v="0"/>
    <x v="0"/>
    <x v="0"/>
    <x v="0"/>
  </r>
  <r>
    <x v="92"/>
    <x v="155"/>
    <x v="3"/>
    <x v="1"/>
    <x v="397"/>
    <x v="430"/>
    <x v="295"/>
    <x v="419"/>
    <x v="214"/>
    <x v="373"/>
    <x v="0"/>
    <x v="0"/>
    <x v="0"/>
    <x v="0"/>
    <x v="0"/>
    <x v="0"/>
    <x v="0"/>
  </r>
  <r>
    <x v="150"/>
    <x v="156"/>
    <x v="0"/>
    <x v="3"/>
    <x v="385"/>
    <x v="406"/>
    <x v="25"/>
    <x v="116"/>
    <x v="73"/>
    <x v="115"/>
    <x v="0"/>
    <x v="0"/>
    <x v="0"/>
    <x v="0"/>
    <x v="0"/>
    <x v="0"/>
    <x v="0"/>
  </r>
  <r>
    <x v="402"/>
    <x v="156"/>
    <x v="0"/>
    <x v="3"/>
    <x v="330"/>
    <x v="332"/>
    <x v="373"/>
    <x v="405"/>
    <x v="316"/>
    <x v="434"/>
    <x v="0"/>
    <x v="0"/>
    <x v="0"/>
    <x v="0"/>
    <x v="0"/>
    <x v="0"/>
    <x v="0"/>
  </r>
  <r>
    <x v="68"/>
    <x v="156"/>
    <x v="4"/>
    <x v="0"/>
    <x v="284"/>
    <x v="215"/>
    <x v="147"/>
    <x v="296"/>
    <x v="85"/>
    <x v="86"/>
    <x v="0"/>
    <x v="0"/>
    <x v="0"/>
    <x v="0"/>
    <x v="0"/>
    <x v="0"/>
    <x v="0"/>
  </r>
  <r>
    <x v="208"/>
    <x v="156"/>
    <x v="3"/>
    <x v="2"/>
    <x v="294"/>
    <x v="284"/>
    <x v="294"/>
    <x v="314"/>
    <x v="40"/>
    <x v="70"/>
    <x v="0"/>
    <x v="0"/>
    <x v="0"/>
    <x v="0"/>
    <x v="0"/>
    <x v="0"/>
    <x v="0"/>
  </r>
  <r>
    <x v="31"/>
    <x v="156"/>
    <x v="3"/>
    <x v="2"/>
    <x v="264"/>
    <x v="321"/>
    <x v="355"/>
    <x v="149"/>
    <x v="203"/>
    <x v="325"/>
    <x v="0"/>
    <x v="0"/>
    <x v="0"/>
    <x v="0"/>
    <x v="0"/>
    <x v="0"/>
    <x v="0"/>
  </r>
  <r>
    <x v="477"/>
    <x v="156"/>
    <x v="3"/>
    <x v="3"/>
    <x v="243"/>
    <x v="248"/>
    <x v="499"/>
    <x v="204"/>
    <x v="202"/>
    <x v="352"/>
    <x v="0"/>
    <x v="0"/>
    <x v="0"/>
    <x v="0"/>
    <x v="0"/>
    <x v="0"/>
    <x v="0"/>
  </r>
  <r>
    <x v="18"/>
    <x v="157"/>
    <x v="1"/>
    <x v="2"/>
    <x v="281"/>
    <x v="371"/>
    <x v="204"/>
    <x v="302"/>
    <x v="275"/>
    <x v="334"/>
    <x v="0"/>
    <x v="0"/>
    <x v="0"/>
    <x v="0"/>
    <x v="0"/>
    <x v="0"/>
    <x v="0"/>
  </r>
  <r>
    <x v="437"/>
    <x v="157"/>
    <x v="1"/>
    <x v="1"/>
    <x v="448"/>
    <x v="448"/>
    <x v="83"/>
    <x v="128"/>
    <x v="4"/>
    <x v="34"/>
    <x v="0"/>
    <x v="0"/>
    <x v="0"/>
    <x v="0"/>
    <x v="0"/>
    <x v="0"/>
    <x v="0"/>
  </r>
  <r>
    <x v="260"/>
    <x v="157"/>
    <x v="4"/>
    <x v="2"/>
    <x v="336"/>
    <x v="352"/>
    <x v="91"/>
    <x v="211"/>
    <x v="93"/>
    <x v="119"/>
    <x v="0"/>
    <x v="0"/>
    <x v="0"/>
    <x v="0"/>
    <x v="0"/>
    <x v="0"/>
    <x v="0"/>
  </r>
  <r>
    <x v="406"/>
    <x v="157"/>
    <x v="4"/>
    <x v="3"/>
    <x v="317"/>
    <x v="286"/>
    <x v="471"/>
    <x v="458"/>
    <x v="338"/>
    <x v="493"/>
    <x v="0"/>
    <x v="0"/>
    <x v="0"/>
    <x v="0"/>
    <x v="0"/>
    <x v="0"/>
    <x v="0"/>
  </r>
  <r>
    <x v="481"/>
    <x v="158"/>
    <x v="1"/>
    <x v="2"/>
    <x v="210"/>
    <x v="265"/>
    <x v="218"/>
    <x v="177"/>
    <x v="64"/>
    <x v="72"/>
    <x v="0"/>
    <x v="0"/>
    <x v="0"/>
    <x v="0"/>
    <x v="0"/>
    <x v="0"/>
    <x v="0"/>
  </r>
  <r>
    <x v="433"/>
    <x v="158"/>
    <x v="0"/>
    <x v="1"/>
    <x v="349"/>
    <x v="262"/>
    <x v="415"/>
    <x v="461"/>
    <x v="310"/>
    <x v="478"/>
    <x v="0"/>
    <x v="0"/>
    <x v="0"/>
    <x v="0"/>
    <x v="0"/>
    <x v="0"/>
    <x v="0"/>
  </r>
  <r>
    <x v="189"/>
    <x v="158"/>
    <x v="0"/>
    <x v="1"/>
    <x v="206"/>
    <x v="268"/>
    <x v="15"/>
    <x v="13"/>
    <x v="84"/>
    <x v="125"/>
    <x v="0"/>
    <x v="0"/>
    <x v="0"/>
    <x v="0"/>
    <x v="0"/>
    <x v="0"/>
    <x v="0"/>
  </r>
  <r>
    <x v="428"/>
    <x v="158"/>
    <x v="0"/>
    <x v="2"/>
    <x v="148"/>
    <x v="161"/>
    <x v="281"/>
    <x v="175"/>
    <x v="191"/>
    <x v="221"/>
    <x v="0"/>
    <x v="0"/>
    <x v="0"/>
    <x v="0"/>
    <x v="0"/>
    <x v="0"/>
    <x v="0"/>
  </r>
  <r>
    <x v="104"/>
    <x v="159"/>
    <x v="4"/>
    <x v="3"/>
    <x v="9"/>
    <x v="37"/>
    <x v="235"/>
    <x v="164"/>
    <x v="154"/>
    <x v="308"/>
    <x v="0"/>
    <x v="0"/>
    <x v="0"/>
    <x v="0"/>
    <x v="0"/>
    <x v="0"/>
    <x v="0"/>
  </r>
  <r>
    <x v="12"/>
    <x v="159"/>
    <x v="3"/>
    <x v="3"/>
    <x v="140"/>
    <x v="98"/>
    <x v="65"/>
    <x v="15"/>
    <x v="57"/>
    <x v="123"/>
    <x v="0"/>
    <x v="0"/>
    <x v="0"/>
    <x v="0"/>
    <x v="0"/>
    <x v="0"/>
    <x v="0"/>
  </r>
  <r>
    <x v="63"/>
    <x v="159"/>
    <x v="4"/>
    <x v="2"/>
    <x v="111"/>
    <x v="74"/>
    <x v="288"/>
    <x v="397"/>
    <x v="323"/>
    <x v="486"/>
    <x v="0"/>
    <x v="0"/>
    <x v="0"/>
    <x v="0"/>
    <x v="0"/>
    <x v="0"/>
    <x v="0"/>
  </r>
  <r>
    <x v="224"/>
    <x v="160"/>
    <x v="1"/>
    <x v="3"/>
    <x v="29"/>
    <x v="35"/>
    <x v="136"/>
    <x v="58"/>
    <x v="31"/>
    <x v="48"/>
    <x v="0"/>
    <x v="0"/>
    <x v="0"/>
    <x v="0"/>
    <x v="0"/>
    <x v="0"/>
    <x v="0"/>
  </r>
  <r>
    <x v="167"/>
    <x v="160"/>
    <x v="0"/>
    <x v="0"/>
    <x v="250"/>
    <x v="227"/>
    <x v="7"/>
    <x v="104"/>
    <x v="99"/>
    <x v="241"/>
    <x v="0"/>
    <x v="0"/>
    <x v="0"/>
    <x v="0"/>
    <x v="0"/>
    <x v="0"/>
    <x v="0"/>
  </r>
  <r>
    <x v="470"/>
    <x v="160"/>
    <x v="1"/>
    <x v="1"/>
    <x v="89"/>
    <x v="58"/>
    <x v="299"/>
    <x v="354"/>
    <x v="278"/>
    <x v="382"/>
    <x v="0"/>
    <x v="0"/>
    <x v="0"/>
    <x v="0"/>
    <x v="0"/>
    <x v="0"/>
    <x v="0"/>
  </r>
  <r>
    <x v="49"/>
    <x v="160"/>
    <x v="3"/>
    <x v="1"/>
    <x v="235"/>
    <x v="180"/>
    <x v="43"/>
    <x v="216"/>
    <x v="0"/>
    <x v="1"/>
    <x v="0"/>
    <x v="0"/>
    <x v="0"/>
    <x v="0"/>
    <x v="0"/>
    <x v="0"/>
    <x v="0"/>
  </r>
  <r>
    <x v="200"/>
    <x v="161"/>
    <x v="3"/>
    <x v="2"/>
    <x v="72"/>
    <x v="57"/>
    <x v="256"/>
    <x v="91"/>
    <x v="184"/>
    <x v="236"/>
    <x v="0"/>
    <x v="0"/>
    <x v="0"/>
    <x v="0"/>
    <x v="0"/>
    <x v="0"/>
    <x v="0"/>
  </r>
  <r>
    <x v="111"/>
    <x v="161"/>
    <x v="4"/>
    <x v="0"/>
    <x v="43"/>
    <x v="16"/>
    <x v="280"/>
    <x v="240"/>
    <x v="177"/>
    <x v="183"/>
    <x v="0"/>
    <x v="0"/>
    <x v="0"/>
    <x v="0"/>
    <x v="0"/>
    <x v="0"/>
    <x v="0"/>
  </r>
  <r>
    <x v="3"/>
    <x v="161"/>
    <x v="4"/>
    <x v="3"/>
    <x v="350"/>
    <x v="261"/>
    <x v="139"/>
    <x v="285"/>
    <x v="173"/>
    <x v="367"/>
    <x v="0"/>
    <x v="0"/>
    <x v="0"/>
    <x v="0"/>
    <x v="0"/>
    <x v="0"/>
    <x v="0"/>
  </r>
  <r>
    <x v="348"/>
    <x v="161"/>
    <x v="0"/>
    <x v="0"/>
    <x v="442"/>
    <x v="454"/>
    <x v="53"/>
    <x v="128"/>
    <x v="181"/>
    <x v="245"/>
    <x v="0"/>
    <x v="0"/>
    <x v="0"/>
    <x v="0"/>
    <x v="0"/>
    <x v="0"/>
    <x v="0"/>
  </r>
  <r>
    <x v="137"/>
    <x v="162"/>
    <x v="2"/>
    <x v="1"/>
    <x v="472"/>
    <x v="494"/>
    <x v="293"/>
    <x v="82"/>
    <x v="140"/>
    <x v="264"/>
    <x v="0"/>
    <x v="0"/>
    <x v="0"/>
    <x v="0"/>
    <x v="0"/>
    <x v="0"/>
    <x v="0"/>
  </r>
  <r>
    <x v="28"/>
    <x v="163"/>
    <x v="3"/>
    <x v="3"/>
    <x v="141"/>
    <x v="128"/>
    <x v="115"/>
    <x v="275"/>
    <x v="251"/>
    <x v="413"/>
    <x v="0"/>
    <x v="0"/>
    <x v="0"/>
    <x v="0"/>
    <x v="0"/>
    <x v="0"/>
    <x v="0"/>
  </r>
  <r>
    <x v="27"/>
    <x v="163"/>
    <x v="0"/>
    <x v="0"/>
    <x v="298"/>
    <x v="282"/>
    <x v="317"/>
    <x v="393"/>
    <x v="112"/>
    <x v="107"/>
    <x v="0"/>
    <x v="0"/>
    <x v="0"/>
    <x v="0"/>
    <x v="0"/>
    <x v="0"/>
    <x v="0"/>
  </r>
  <r>
    <x v="309"/>
    <x v="164"/>
    <x v="3"/>
    <x v="1"/>
    <x v="254"/>
    <x v="290"/>
    <x v="417"/>
    <x v="449"/>
    <x v="240"/>
    <x v="315"/>
    <x v="0"/>
    <x v="0"/>
    <x v="0"/>
    <x v="0"/>
    <x v="0"/>
    <x v="0"/>
    <x v="0"/>
  </r>
  <r>
    <x v="109"/>
    <x v="164"/>
    <x v="4"/>
    <x v="0"/>
    <x v="287"/>
    <x v="291"/>
    <x v="448"/>
    <x v="159"/>
    <x v="239"/>
    <x v="310"/>
    <x v="0"/>
    <x v="0"/>
    <x v="0"/>
    <x v="0"/>
    <x v="0"/>
    <x v="0"/>
    <x v="0"/>
  </r>
  <r>
    <x v="22"/>
    <x v="164"/>
    <x v="0"/>
    <x v="3"/>
    <x v="58"/>
    <x v="93"/>
    <x v="300"/>
    <x v="349"/>
    <x v="29"/>
    <x v="15"/>
    <x v="0"/>
    <x v="0"/>
    <x v="0"/>
    <x v="0"/>
    <x v="0"/>
    <x v="0"/>
    <x v="0"/>
  </r>
  <r>
    <x v="436"/>
    <x v="165"/>
    <x v="4"/>
    <x v="2"/>
    <x v="154"/>
    <x v="203"/>
    <x v="376"/>
    <x v="445"/>
    <x v="50"/>
    <x v="39"/>
    <x v="0"/>
    <x v="0"/>
    <x v="0"/>
    <x v="0"/>
    <x v="0"/>
    <x v="0"/>
    <x v="0"/>
  </r>
  <r>
    <x v="468"/>
    <x v="165"/>
    <x v="1"/>
    <x v="2"/>
    <x v="321"/>
    <x v="325"/>
    <x v="165"/>
    <x v="317"/>
    <x v="205"/>
    <x v="384"/>
    <x v="0"/>
    <x v="0"/>
    <x v="0"/>
    <x v="0"/>
    <x v="0"/>
    <x v="0"/>
    <x v="0"/>
  </r>
  <r>
    <x v="277"/>
    <x v="166"/>
    <x v="3"/>
    <x v="0"/>
    <x v="213"/>
    <x v="171"/>
    <x v="177"/>
    <x v="320"/>
    <x v="263"/>
    <x v="335"/>
    <x v="0"/>
    <x v="0"/>
    <x v="0"/>
    <x v="0"/>
    <x v="0"/>
    <x v="0"/>
    <x v="0"/>
  </r>
  <r>
    <x v="95"/>
    <x v="167"/>
    <x v="0"/>
    <x v="1"/>
    <x v="12"/>
    <x v="13"/>
    <x v="220"/>
    <x v="311"/>
    <x v="193"/>
    <x v="320"/>
    <x v="0"/>
    <x v="0"/>
    <x v="0"/>
    <x v="0"/>
    <x v="0"/>
    <x v="0"/>
    <x v="0"/>
  </r>
  <r>
    <x v="295"/>
    <x v="168"/>
    <x v="0"/>
    <x v="1"/>
    <x v="78"/>
    <x v="96"/>
    <x v="286"/>
    <x v="171"/>
    <x v="156"/>
    <x v="207"/>
    <x v="0"/>
    <x v="0"/>
    <x v="0"/>
    <x v="0"/>
    <x v="0"/>
    <x v="0"/>
    <x v="0"/>
  </r>
  <r>
    <x v="20"/>
    <x v="168"/>
    <x v="1"/>
    <x v="0"/>
    <x v="187"/>
    <x v="159"/>
    <x v="261"/>
    <x v="56"/>
    <x v="147"/>
    <x v="303"/>
    <x v="0"/>
    <x v="0"/>
    <x v="0"/>
    <x v="0"/>
    <x v="0"/>
    <x v="0"/>
    <x v="0"/>
  </r>
  <r>
    <x v="286"/>
    <x v="168"/>
    <x v="0"/>
    <x v="2"/>
    <x v="265"/>
    <x v="210"/>
    <x v="49"/>
    <x v="2"/>
    <x v="15"/>
    <x v="52"/>
    <x v="0"/>
    <x v="0"/>
    <x v="0"/>
    <x v="0"/>
    <x v="0"/>
    <x v="0"/>
    <x v="0"/>
  </r>
  <r>
    <x v="155"/>
    <x v="168"/>
    <x v="1"/>
    <x v="0"/>
    <x v="179"/>
    <x v="154"/>
    <x v="439"/>
    <x v="456"/>
    <x v="350"/>
    <x v="499"/>
    <x v="0"/>
    <x v="0"/>
    <x v="0"/>
    <x v="0"/>
    <x v="0"/>
    <x v="0"/>
    <x v="0"/>
  </r>
  <r>
    <x v="123"/>
    <x v="168"/>
    <x v="4"/>
    <x v="0"/>
    <x v="26"/>
    <x v="6"/>
    <x v="52"/>
    <x v="89"/>
    <x v="144"/>
    <x v="131"/>
    <x v="0"/>
    <x v="0"/>
    <x v="0"/>
    <x v="0"/>
    <x v="0"/>
    <x v="0"/>
    <x v="0"/>
  </r>
  <r>
    <x v="389"/>
    <x v="169"/>
    <x v="4"/>
    <x v="3"/>
    <x v="238"/>
    <x v="175"/>
    <x v="58"/>
    <x v="239"/>
    <x v="150"/>
    <x v="214"/>
    <x v="0"/>
    <x v="0"/>
    <x v="0"/>
    <x v="0"/>
    <x v="0"/>
    <x v="0"/>
    <x v="0"/>
  </r>
  <r>
    <x v="382"/>
    <x v="169"/>
    <x v="3"/>
    <x v="3"/>
    <x v="396"/>
    <x v="432"/>
    <x v="248"/>
    <x v="307"/>
    <x v="237"/>
    <x v="411"/>
    <x v="0"/>
    <x v="0"/>
    <x v="0"/>
    <x v="0"/>
    <x v="0"/>
    <x v="0"/>
    <x v="0"/>
  </r>
  <r>
    <x v="201"/>
    <x v="170"/>
    <x v="4"/>
    <x v="2"/>
    <x v="33"/>
    <x v="10"/>
    <x v="150"/>
    <x v="42"/>
    <x v="128"/>
    <x v="227"/>
    <x v="0"/>
    <x v="0"/>
    <x v="0"/>
    <x v="0"/>
    <x v="0"/>
    <x v="0"/>
    <x v="0"/>
  </r>
  <r>
    <x v="170"/>
    <x v="170"/>
    <x v="0"/>
    <x v="0"/>
    <x v="289"/>
    <x v="293"/>
    <x v="474"/>
    <x v="479"/>
    <x v="340"/>
    <x v="494"/>
    <x v="0"/>
    <x v="0"/>
    <x v="0"/>
    <x v="0"/>
    <x v="0"/>
    <x v="0"/>
    <x v="0"/>
  </r>
  <r>
    <x v="143"/>
    <x v="170"/>
    <x v="1"/>
    <x v="1"/>
    <x v="45"/>
    <x v="23"/>
    <x v="101"/>
    <x v="65"/>
    <x v="126"/>
    <x v="269"/>
    <x v="0"/>
    <x v="0"/>
    <x v="0"/>
    <x v="0"/>
    <x v="0"/>
    <x v="0"/>
    <x v="0"/>
  </r>
  <r>
    <x v="270"/>
    <x v="171"/>
    <x v="4"/>
    <x v="0"/>
    <x v="488"/>
    <x v="490"/>
    <x v="361"/>
    <x v="262"/>
    <x v="36"/>
    <x v="30"/>
    <x v="0"/>
    <x v="0"/>
    <x v="0"/>
    <x v="0"/>
    <x v="0"/>
    <x v="0"/>
    <x v="0"/>
  </r>
  <r>
    <x v="194"/>
    <x v="171"/>
    <x v="0"/>
    <x v="3"/>
    <x v="227"/>
    <x v="212"/>
    <x v="119"/>
    <x v="156"/>
    <x v="78"/>
    <x v="154"/>
    <x v="0"/>
    <x v="0"/>
    <x v="0"/>
    <x v="0"/>
    <x v="0"/>
    <x v="0"/>
    <x v="0"/>
  </r>
  <r>
    <x v="404"/>
    <x v="172"/>
    <x v="0"/>
    <x v="1"/>
    <x v="68"/>
    <x v="100"/>
    <x v="296"/>
    <x v="309"/>
    <x v="119"/>
    <x v="252"/>
    <x v="0"/>
    <x v="0"/>
    <x v="0"/>
    <x v="0"/>
    <x v="0"/>
    <x v="0"/>
    <x v="0"/>
  </r>
  <r>
    <x v="75"/>
    <x v="172"/>
    <x v="2"/>
    <x v="1"/>
    <x v="113"/>
    <x v="169"/>
    <x v="146"/>
    <x v="106"/>
    <x v="169"/>
    <x v="267"/>
    <x v="0"/>
    <x v="0"/>
    <x v="0"/>
    <x v="0"/>
    <x v="0"/>
    <x v="0"/>
    <x v="0"/>
  </r>
  <r>
    <x v="356"/>
    <x v="172"/>
    <x v="1"/>
    <x v="0"/>
    <x v="163"/>
    <x v="139"/>
    <x v="158"/>
    <x v="276"/>
    <x v="120"/>
    <x v="166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rketing_PivotTable" cacheId="0" autoFormatId="1" applyNumberFormats="0" applyBorderFormats="0" applyFontFormats="0" applyPatternFormats="0" applyAlignmentFormats="0" applyWidthHeightFormats="1" dataCaption="Values" compact="0" indent="0" outline="1" compactData="0" outlineData="1" showDrill="0">
  <location ref="A3:G27" firstHeaderRow="1" firstDataRow="2" firstDataCol="2"/>
  <pivotFields count="17">
    <pivotField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/>
    <pivotField axis="axisRow" compact="0" defaultSubtotal="0" showAll="0">
      <items count="5">
        <item x="0"/>
        <item x="1"/>
        <item x="2"/>
        <item x="3"/>
        <item x="4"/>
      </items>
    </pivotField>
    <pivotField axis="axisCol" compact="0" defaultSubtotal="0" showAll="0">
      <items count="4">
        <item x="0"/>
        <item x="1"/>
        <item x="2"/>
        <item x="3"/>
      </items>
    </pivotField>
    <pivotField compact="0" showAll="0"/>
    <pivotField dataField="1"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/>
    <pivotField compact="0" showAll="0"/>
    <pivotField dataField="1" compact="0" showAll="0">
      <items count="3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t="default"/>
      </items>
    </pivotField>
    <pivotField dataField="1" compact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colFields count="1">
    <field x="3"/>
  </colFields>
  <dataFields count="3">
    <dataField name="Sum - Spend ($)" fld="5" baseField="0" baseItem="0" numFmtId="181"/>
    <dataField name="Sum - Revenue ($)" fld="9" baseField="0" baseItem="0" numFmtId="181"/>
    <dataField name="Sum - Conversions" fld="8" baseField="0" baseItem="0"/>
  </dataFields>
  <pivotTableStyleInfo name="PivotStyleLight16" showRowHeaders="1" showColHeaders="1" showLastColumn="1"/>
</pivotTableDefinition>
</file>

<file path=xl/tables/table1.xml><?xml version="1.0" encoding="utf-8"?>
<table xmlns="http://schemas.openxmlformats.org/spreadsheetml/2006/main" id="1" name="KPIData" displayName="KPIData" ref="A1:Q501" totalsRowShown="0">
  <autoFilter xmlns:etc="http://www.wps.cn/officeDocument/2017/etCustomData" ref="A1:Q501" etc:filterBottomFollowUsedRange="0"/>
  <tableColumns count="17">
    <tableColumn id="1" name="Campaign_ID"/>
    <tableColumn id="2" name="Date"/>
    <tableColumn id="3" name="Channel"/>
    <tableColumn id="4" name="Region"/>
    <tableColumn id="5" name="Budget ($)"/>
    <tableColumn id="6" name="Spend ($)"/>
    <tableColumn id="7" name="Impressions"/>
    <tableColumn id="8" name="Clicks"/>
    <tableColumn id="9" name="Conversions"/>
    <tableColumn id="10" name="Revenue ($)"/>
    <tableColumn id="11" name="CTR"/>
    <tableColumn id="12" name="CPC"/>
    <tableColumn id="13" name="CPA"/>
    <tableColumn id="14" name="ROAS"/>
    <tableColumn id="15" name="Profit ($)"/>
    <tableColumn id="16" name="Profit Margin %"/>
    <tableColumn id="17" name="Year-Month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RawData" displayName="RawData" ref="A1:J501" totalsRowShown="0">
  <autoFilter xmlns:etc="http://www.wps.cn/officeDocument/2017/etCustomData" ref="A1:J501" etc:filterBottomFollowUsedRange="0"/>
  <tableColumns count="10">
    <tableColumn id="1" name="Campaign_ID"/>
    <tableColumn id="2" name="Date"/>
    <tableColumn id="3" name="Channel"/>
    <tableColumn id="4" name="Region"/>
    <tableColumn id="5" name="Budget ($)"/>
    <tableColumn id="6" name="Spend ($)"/>
    <tableColumn id="7" name="Impressions"/>
    <tableColumn id="8" name="Clicks"/>
    <tableColumn id="9" name="Conversions"/>
    <tableColumn id="10" name="Revenue ($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62"/>
  <sheetViews>
    <sheetView showGridLines="0" tabSelected="1" zoomScale="78" zoomScaleNormal="78" topLeftCell="A2" workbookViewId="0">
      <selection activeCell="U19" sqref="U19"/>
    </sheetView>
  </sheetViews>
  <sheetFormatPr defaultColWidth="8.67619047619048" defaultRowHeight="15"/>
  <cols>
    <col min="2" max="13" width="11.5047619047619" style="1" customWidth="1"/>
  </cols>
  <sheetData>
    <row r="2" ht="30" customHeight="1" spans="2:14">
      <c r="B2" s="54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customHeight="1" spans="2:14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ht="21.75" customHeight="1" spans="2:14">
      <c r="B4" s="56" t="s">
        <v>1</v>
      </c>
      <c r="C4" s="57" t="s">
        <v>2</v>
      </c>
      <c r="E4" s="56" t="s">
        <v>3</v>
      </c>
      <c r="F4" s="57" t="s">
        <v>2</v>
      </c>
      <c r="H4" s="56" t="s">
        <v>4</v>
      </c>
      <c r="I4" s="58">
        <v>45636</v>
      </c>
      <c r="K4" s="56" t="s">
        <v>5</v>
      </c>
      <c r="L4" s="58">
        <v>45818</v>
      </c>
    </row>
    <row r="5" ht="18" customHeight="1" spans="2:14">
      <c r="B5" s="59" t="s">
        <v>6</v>
      </c>
      <c r="C5" s="59"/>
      <c r="D5" s="59" t="s">
        <v>7</v>
      </c>
      <c r="E5" s="59"/>
      <c r="F5" s="59" t="s">
        <v>8</v>
      </c>
      <c r="G5" s="59"/>
      <c r="H5" s="59" t="s">
        <v>9</v>
      </c>
      <c r="I5" s="59"/>
      <c r="J5" s="59" t="s">
        <v>10</v>
      </c>
      <c r="K5" s="59"/>
      <c r="L5" s="59" t="s">
        <v>11</v>
      </c>
      <c r="M5" s="59"/>
    </row>
    <row r="6" ht="21.75" customHeight="1" spans="2:14">
      <c r="B6" s="60">
        <f>SUMIFS(KPI_Data!F2:F501,KPI_Data!C2:C501,IF($C$4="All","*",$C$4),KPI_Data!D2:D501,IF($F$4="All","*",$F$4),KPI_Data!B2:B501,"&gt;="&amp;$I$4,KPI_Data!B2:B501,"&lt;="&amp;$L$4)</f>
        <v>3132508.19</v>
      </c>
      <c r="C6" s="60"/>
      <c r="D6" s="60">
        <f>SUMIFS(KPI_Data!J2:J501,KPI_Data!C2:C501,IF($C$4="All","*",$C$4),KPI_Data!D2:D501,IF($F$4="All","*",$F$4),KPI_Data!B2:B501,"&gt;="&amp;$I$4,KPI_Data!B2:B501,"&lt;="&amp;$L$4)</f>
        <v>6552948.08</v>
      </c>
      <c r="E6" s="60"/>
      <c r="F6" s="61">
        <f>SUMIFS(KPI_Data!I2:I501,KPI_Data!C2:C501,IF($C$4="All","*",$C$4),KPI_Data!D2:D501,IF($F$4="All","*",$F$4),KPI_Data!B2:B501,"&gt;="&amp;$I$4,KPI_Data!B2:B501,"&lt;="&amp;$L$4)</f>
        <v>184526</v>
      </c>
      <c r="G6" s="61"/>
      <c r="H6" s="62">
        <f>IFERROR(D6/B6,0)</f>
        <v>2.09191730157935</v>
      </c>
      <c r="I6" s="62"/>
      <c r="J6" s="63">
        <f>IFERROR(AVERAGEIFS(KPI_Data!K2:K501,KPI_Data!C2:C501,IF($C$4="All","*",$C$4),KPI_Data!D2:D501,IF($F$4="All","*",$F$4),KPI_Data!B2:B501,"&gt;="&amp;$I$4,KPI_Data!B2:B501,"&lt;="&amp;$L$4),0)</f>
        <v>0.0295349684972791</v>
      </c>
      <c r="K6" s="63"/>
      <c r="L6" s="60">
        <f>SUMIFS(KPI_Data!O2:O501,KPI_Data!C2:C501,IF($C$4="All","*",$C$4),KPI_Data!D2:D501,IF($F$4="All","*",$F$4),KPI_Data!B2:B501,"&gt;="&amp;$I$4,KPI_Data!B2:B501,"&lt;="&amp;$L$4)</f>
        <v>3420439.89</v>
      </c>
      <c r="M6" s="60"/>
    </row>
    <row r="7" ht="6" customHeight="1"/>
    <row r="8" ht="18" customHeight="1" spans="2:14">
      <c r="B8" s="64"/>
      <c r="D8" s="65"/>
      <c r="F8" s="66"/>
      <c r="H8" s="67"/>
      <c r="J8" s="68"/>
      <c r="L8" s="69"/>
    </row>
    <row r="62" customHeight="1" spans="2:14"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</row>
  </sheetData>
  <mergeCells count="15">
    <mergeCell ref="B2:N2"/>
    <mergeCell ref="B3:N3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  <mergeCell ref="B62:N62"/>
  </mergeCells>
  <dataValidations count="3">
    <dataValidation type="list" error="Choose a value from the list" prompt="Select a channel or All" sqref="C4">
      <formula1>"All,Google Ads,Facebook,Twitter,LinkedIn,Instagram"</formula1>
    </dataValidation>
    <dataValidation type="list" error="Choose a value from the list" prompt="Select a region or All" sqref="F4">
      <formula1>"All,East,North,South,West"</formula1>
    </dataValidation>
    <dataValidation type="date" operator="between" sqref="I4 L4">
      <formula1>2024-12-10</formula1>
      <formula2>2025-6-10</formula2>
    </dataValidation>
  </dataValidations>
  <pageMargins left="0.75" right="0.75" top="1" bottom="1" header="0.511811023622047" footer="0.511811023622047"/>
  <pageSetup paperSize="9" orientation="portrait" horizontalDpi="300" verticalDpi="300"/>
  <headerFooter/>
  <ignoredErrors>
    <ignoredError sqref="B2:N3 B4 D4:E4 G4:N4 C62:N62 B5:N7 C8 E8 G8 I8 K8 M8:N8 B9:N61" listDataValidatio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showGridLines="0" workbookViewId="0">
      <selection activeCell="D25" sqref="D25"/>
    </sheetView>
  </sheetViews>
  <sheetFormatPr defaultColWidth="11.5333333333333" defaultRowHeight="15" outlineLevelCol="6"/>
  <cols>
    <col min="1" max="8" width="14" style="1" customWidth="1"/>
  </cols>
  <sheetData>
    <row r="1" ht="12.75" customHeight="1"/>
    <row r="2" ht="13.5" customHeight="1"/>
    <row r="3" ht="12.75" customHeight="1" spans="1:7">
      <c r="A3" s="15"/>
      <c r="B3" s="16"/>
      <c r="C3" s="17" t="s">
        <v>12</v>
      </c>
      <c r="D3" s="18"/>
      <c r="E3" s="18"/>
      <c r="F3" s="18"/>
      <c r="G3" s="19"/>
    </row>
    <row r="4" ht="12.75" customHeight="1" spans="1:7">
      <c r="A4" s="20" t="s">
        <v>13</v>
      </c>
      <c r="B4" s="21" t="s">
        <v>14</v>
      </c>
      <c r="C4" s="22" t="s">
        <v>15</v>
      </c>
      <c r="D4" s="23" t="s">
        <v>16</v>
      </c>
      <c r="E4" s="23" t="s">
        <v>17</v>
      </c>
      <c r="F4" s="23" t="s">
        <v>18</v>
      </c>
      <c r="G4" s="24" t="s">
        <v>19</v>
      </c>
    </row>
    <row r="5" ht="12.75" customHeight="1" spans="1:7">
      <c r="A5" s="25" t="s">
        <v>20</v>
      </c>
      <c r="B5" s="26"/>
      <c r="C5" s="27"/>
      <c r="D5" s="28"/>
      <c r="E5" s="28"/>
      <c r="F5" s="29"/>
      <c r="G5" s="30"/>
    </row>
    <row r="6" ht="12.75" customHeight="1" spans="1:7">
      <c r="A6" s="31"/>
      <c r="B6" s="32" t="s">
        <v>21</v>
      </c>
      <c r="C6" s="33">
        <v>116793.22</v>
      </c>
      <c r="D6" s="34">
        <v>138263.68</v>
      </c>
      <c r="E6" s="34">
        <v>151935.91</v>
      </c>
      <c r="F6" s="35">
        <v>165207.3</v>
      </c>
      <c r="G6" s="36">
        <v>572200.11</v>
      </c>
    </row>
    <row r="7" ht="12.75" customHeight="1" spans="1:7">
      <c r="A7" s="31"/>
      <c r="B7" s="32" t="s">
        <v>22</v>
      </c>
      <c r="C7" s="33">
        <v>191813.53</v>
      </c>
      <c r="D7" s="34">
        <v>378763.59</v>
      </c>
      <c r="E7" s="34">
        <v>369076.61</v>
      </c>
      <c r="F7" s="35">
        <v>346251.2</v>
      </c>
      <c r="G7" s="36">
        <v>1285904.93</v>
      </c>
    </row>
    <row r="8" ht="12.75" customHeight="1" spans="1:7">
      <c r="A8" s="31"/>
      <c r="B8" s="32" t="s">
        <v>23</v>
      </c>
      <c r="C8" s="37">
        <v>5272</v>
      </c>
      <c r="D8" s="38">
        <v>9759</v>
      </c>
      <c r="E8" s="38">
        <v>10175</v>
      </c>
      <c r="F8" s="39">
        <v>10256</v>
      </c>
      <c r="G8" s="40">
        <v>35462</v>
      </c>
    </row>
    <row r="9" ht="12.75" customHeight="1" spans="1:7">
      <c r="A9" s="31" t="s">
        <v>24</v>
      </c>
      <c r="B9" s="32"/>
      <c r="C9" s="28"/>
      <c r="D9" s="28"/>
      <c r="E9" s="28"/>
      <c r="F9" s="28"/>
      <c r="G9" s="30"/>
    </row>
    <row r="10" ht="12.75" customHeight="1" spans="1:7">
      <c r="A10" s="31"/>
      <c r="B10" s="32" t="s">
        <v>21</v>
      </c>
      <c r="C10" s="34">
        <v>149016.4</v>
      </c>
      <c r="D10" s="34">
        <v>156211.25</v>
      </c>
      <c r="E10" s="34">
        <v>155849.41</v>
      </c>
      <c r="F10" s="34">
        <v>176531.44</v>
      </c>
      <c r="G10" s="36">
        <v>637608.5</v>
      </c>
    </row>
    <row r="11" ht="12.75" customHeight="1" spans="1:7">
      <c r="A11" s="31"/>
      <c r="B11" s="32" t="s">
        <v>22</v>
      </c>
      <c r="C11" s="34">
        <v>350593.43</v>
      </c>
      <c r="D11" s="34">
        <v>287928.78</v>
      </c>
      <c r="E11" s="34">
        <v>318365.2</v>
      </c>
      <c r="F11" s="34">
        <v>414987.27</v>
      </c>
      <c r="G11" s="36">
        <v>1371874.68</v>
      </c>
    </row>
    <row r="12" ht="12.75" customHeight="1" spans="1:7">
      <c r="A12" s="31"/>
      <c r="B12" s="32" t="s">
        <v>23</v>
      </c>
      <c r="C12" s="38">
        <v>9645</v>
      </c>
      <c r="D12" s="38">
        <v>8332</v>
      </c>
      <c r="E12" s="38">
        <v>9048</v>
      </c>
      <c r="F12" s="38">
        <v>11454</v>
      </c>
      <c r="G12" s="40">
        <v>38479</v>
      </c>
    </row>
    <row r="13" ht="12.75" customHeight="1" spans="1:7">
      <c r="A13" s="31" t="s">
        <v>25</v>
      </c>
      <c r="B13" s="32"/>
      <c r="C13" s="27"/>
      <c r="D13" s="28"/>
      <c r="E13" s="28"/>
      <c r="F13" s="29"/>
      <c r="G13" s="30"/>
    </row>
    <row r="14" ht="12.75" customHeight="1" spans="1:7">
      <c r="A14" s="31"/>
      <c r="B14" s="32" t="s">
        <v>21</v>
      </c>
      <c r="C14" s="33">
        <v>146568.35</v>
      </c>
      <c r="D14" s="34">
        <v>149657.53</v>
      </c>
      <c r="E14" s="34">
        <v>187265.72</v>
      </c>
      <c r="F14" s="35">
        <v>133307.13</v>
      </c>
      <c r="G14" s="36">
        <v>616798.73</v>
      </c>
    </row>
    <row r="15" ht="12.75" customHeight="1" spans="1:7">
      <c r="A15" s="31"/>
      <c r="B15" s="32" t="s">
        <v>22</v>
      </c>
      <c r="C15" s="33">
        <v>346381.19</v>
      </c>
      <c r="D15" s="34">
        <v>331816.25</v>
      </c>
      <c r="E15" s="34">
        <v>475040.66</v>
      </c>
      <c r="F15" s="35">
        <v>260499.9</v>
      </c>
      <c r="G15" s="36">
        <v>1413738</v>
      </c>
    </row>
    <row r="16" ht="12.75" customHeight="1" spans="1:7">
      <c r="A16" s="31"/>
      <c r="B16" s="32" t="s">
        <v>23</v>
      </c>
      <c r="C16" s="37">
        <v>9666</v>
      </c>
      <c r="D16" s="38">
        <v>8934</v>
      </c>
      <c r="E16" s="38">
        <v>13949</v>
      </c>
      <c r="F16" s="39">
        <v>7054</v>
      </c>
      <c r="G16" s="40">
        <v>39603</v>
      </c>
    </row>
    <row r="17" ht="12.75" customHeight="1" spans="1:7">
      <c r="A17" s="31" t="s">
        <v>26</v>
      </c>
      <c r="B17" s="32"/>
      <c r="C17" s="28"/>
      <c r="D17" s="28"/>
      <c r="E17" s="28"/>
      <c r="F17" s="28"/>
      <c r="G17" s="30"/>
    </row>
    <row r="18" ht="12.75" customHeight="1" spans="1:7">
      <c r="A18" s="31"/>
      <c r="B18" s="32" t="s">
        <v>21</v>
      </c>
      <c r="C18" s="34">
        <v>161487.07</v>
      </c>
      <c r="D18" s="34">
        <v>210704.04</v>
      </c>
      <c r="E18" s="34">
        <v>130130.16</v>
      </c>
      <c r="F18" s="34">
        <v>149798.02</v>
      </c>
      <c r="G18" s="36">
        <v>652119.29</v>
      </c>
    </row>
    <row r="19" ht="12.75" customHeight="1" spans="1:7">
      <c r="A19" s="31"/>
      <c r="B19" s="32" t="s">
        <v>22</v>
      </c>
      <c r="C19" s="34">
        <v>334511.72</v>
      </c>
      <c r="D19" s="34">
        <v>385254.24</v>
      </c>
      <c r="E19" s="34">
        <v>214236.66</v>
      </c>
      <c r="F19" s="34">
        <v>353788.6</v>
      </c>
      <c r="G19" s="36">
        <v>1287791.22</v>
      </c>
    </row>
    <row r="20" ht="12.75" customHeight="1" spans="1:7">
      <c r="A20" s="31"/>
      <c r="B20" s="32" t="s">
        <v>23</v>
      </c>
      <c r="C20" s="38">
        <v>10136</v>
      </c>
      <c r="D20" s="38">
        <v>10586</v>
      </c>
      <c r="E20" s="38">
        <v>6498</v>
      </c>
      <c r="F20" s="38">
        <v>9350</v>
      </c>
      <c r="G20" s="40">
        <v>36570</v>
      </c>
    </row>
    <row r="21" ht="12.75" customHeight="1" spans="1:7">
      <c r="A21" s="31" t="s">
        <v>27</v>
      </c>
      <c r="B21" s="32"/>
      <c r="C21" s="27"/>
      <c r="D21" s="28"/>
      <c r="E21" s="28"/>
      <c r="F21" s="29"/>
      <c r="G21" s="30"/>
    </row>
    <row r="22" ht="12.75" customHeight="1" spans="1:7">
      <c r="A22" s="31"/>
      <c r="B22" s="32" t="s">
        <v>21</v>
      </c>
      <c r="C22" s="33">
        <v>137837.84</v>
      </c>
      <c r="D22" s="34">
        <v>183838.94</v>
      </c>
      <c r="E22" s="34">
        <v>146228.88</v>
      </c>
      <c r="F22" s="35">
        <v>185875.9</v>
      </c>
      <c r="G22" s="36">
        <v>653781.56</v>
      </c>
    </row>
    <row r="23" ht="13.5" customHeight="1" spans="1:7">
      <c r="A23" s="31"/>
      <c r="B23" s="32" t="s">
        <v>22</v>
      </c>
      <c r="C23" s="33">
        <v>207793.44</v>
      </c>
      <c r="D23" s="34">
        <v>322917</v>
      </c>
      <c r="E23" s="34">
        <v>285891.59</v>
      </c>
      <c r="F23" s="35">
        <v>377037.22</v>
      </c>
      <c r="G23" s="36">
        <v>1193639.25</v>
      </c>
    </row>
    <row r="24" ht="13.5" customHeight="1" spans="1:7">
      <c r="A24" s="31"/>
      <c r="B24" s="32" t="s">
        <v>23</v>
      </c>
      <c r="C24" s="37">
        <v>6741</v>
      </c>
      <c r="D24" s="38">
        <v>9160</v>
      </c>
      <c r="E24" s="38">
        <v>7918</v>
      </c>
      <c r="F24" s="39">
        <v>10593</v>
      </c>
      <c r="G24" s="40">
        <v>34412</v>
      </c>
    </row>
    <row r="25" ht="13.5" customHeight="1" spans="1:7">
      <c r="A25" s="41" t="s">
        <v>28</v>
      </c>
      <c r="B25" s="42"/>
      <c r="C25" s="43">
        <v>711702.88</v>
      </c>
      <c r="D25" s="43">
        <v>838675.44</v>
      </c>
      <c r="E25" s="43">
        <v>771410.08</v>
      </c>
      <c r="F25" s="43">
        <v>810719.79</v>
      </c>
      <c r="G25" s="44">
        <v>3132508.19</v>
      </c>
    </row>
    <row r="26" ht="13.5" customHeight="1" spans="1:7">
      <c r="A26" s="41" t="s">
        <v>29</v>
      </c>
      <c r="B26" s="42"/>
      <c r="C26" s="45">
        <v>1431093.31</v>
      </c>
      <c r="D26" s="46">
        <v>1706679.86</v>
      </c>
      <c r="E26" s="46">
        <v>1662610.72</v>
      </c>
      <c r="F26" s="47">
        <v>1752564.19</v>
      </c>
      <c r="G26" s="44">
        <v>6552948.08</v>
      </c>
    </row>
    <row r="27" ht="13.5" customHeight="1" spans="1:7">
      <c r="A27" s="48" t="s">
        <v>30</v>
      </c>
      <c r="B27" s="49"/>
      <c r="C27" s="50">
        <v>41460</v>
      </c>
      <c r="D27" s="51">
        <v>46771</v>
      </c>
      <c r="E27" s="51">
        <v>47588</v>
      </c>
      <c r="F27" s="52">
        <v>48707</v>
      </c>
      <c r="G27" s="53">
        <v>184526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 &amp;Kffffff&amp;A</oddHeader>
    <oddFooter>&amp;C&amp;"Times New Roman,Regular"&amp;12 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showGridLines="0" topLeftCell="A7" workbookViewId="0">
      <selection activeCell="B35" sqref="B35"/>
    </sheetView>
  </sheetViews>
  <sheetFormatPr defaultColWidth="8.67619047619048" defaultRowHeight="15" outlineLevelCol="5"/>
  <cols>
    <col min="1" max="1" width="22" style="1" customWidth="1"/>
    <col min="2" max="3" width="14" style="1" customWidth="1"/>
    <col min="4" max="4" width="13" style="1" customWidth="1"/>
    <col min="5" max="5" width="10" style="1" customWidth="1"/>
    <col min="6" max="6" width="13" style="1" customWidth="1"/>
  </cols>
  <sheetData>
    <row r="1" customHeight="1" spans="1:6">
      <c r="A1" s="9" t="s">
        <v>31</v>
      </c>
      <c r="B1" s="9"/>
      <c r="C1" s="9"/>
      <c r="D1" s="9"/>
      <c r="E1" s="9"/>
      <c r="F1" s="9"/>
    </row>
    <row r="3" customHeight="1" spans="1:6">
      <c r="A3" s="10" t="s">
        <v>32</v>
      </c>
    </row>
    <row r="4" customHeight="1" spans="1:6">
      <c r="A4" s="2" t="s">
        <v>13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</row>
    <row r="5" customHeight="1" spans="1:6">
      <c r="A5" s="3" t="s">
        <v>20</v>
      </c>
      <c r="B5" s="11">
        <f>SUMIFS(KPI_Data!$F$2:$F$501,KPI_Data!$C$2:$C$501,A5,KPI_Data!$C$2:$C$501,IF(Dashboard!$C$4="All","*",Dashboard!$C$4),KPI_Data!$D$2:$D$501,IF(Dashboard!$F$4="All","*",Dashboard!$F$4),KPI_Data!$B$2:$B$501,"&gt;="&amp;Dashboard!$I$4,KPI_Data!$B$2:$B$501,"&lt;="&amp;Dashboard!$L$4)</f>
        <v>572200.11</v>
      </c>
      <c r="C5" s="11">
        <f>SUMIFS(KPI_Data!$J$2:$J$501,KPI_Data!$C$2:$C$501,A5,KPI_Data!$C$2:$C$501,IF(Dashboard!$C$4="All","*",Dashboard!$C$4),KPI_Data!$D$2:$D$501,IF(Dashboard!$F$4="All","*",Dashboard!$F$4),KPI_Data!$B$2:$B$501,"&gt;="&amp;Dashboard!$I$4,KPI_Data!$B$2:$B$501,"&lt;="&amp;Dashboard!$L$4)</f>
        <v>1285904.93</v>
      </c>
      <c r="D5" s="12">
        <f>SUMIFS(KPI_Data!$I$2:$I$501,KPI_Data!$C$2:$C$501,A5,KPI_Data!$C$2:$C$501,IF(Dashboard!$C$4="All","*",Dashboard!$C$4),KPI_Data!$D$2:$D$501,IF(Dashboard!$F$4="All","*",Dashboard!$F$4),KPI_Data!$B$2:$B$501,"&gt;="&amp;Dashboard!$I$4,KPI_Data!$B$2:$B$501,"&lt;="&amp;Dashboard!$L$4)</f>
        <v>35462</v>
      </c>
      <c r="E5" s="13">
        <f>IFERROR(C5/B5,0)</f>
        <v>2.24729934078482</v>
      </c>
      <c r="F5" s="11">
        <f>C5-B5</f>
        <v>713704.820000001</v>
      </c>
    </row>
    <row r="6" customHeight="1" spans="1:6">
      <c r="A6" s="3" t="s">
        <v>24</v>
      </c>
      <c r="B6" s="11">
        <f>SUMIFS(KPI_Data!$F$2:$F$501,KPI_Data!$C$2:$C$501,A6,KPI_Data!$C$2:$C$501,IF(Dashboard!$C$4="All","*",Dashboard!$C$4),KPI_Data!$D$2:$D$501,IF(Dashboard!$F$4="All","*",Dashboard!$F$4),KPI_Data!$B$2:$B$501,"&gt;="&amp;Dashboard!$I$4,KPI_Data!$B$2:$B$501,"&lt;="&amp;Dashboard!$L$4)</f>
        <v>637608.5</v>
      </c>
      <c r="C6" s="11">
        <f>SUMIFS(KPI_Data!$J$2:$J$501,KPI_Data!$C$2:$C$501,A6,KPI_Data!$C$2:$C$501,IF(Dashboard!$C$4="All","*",Dashboard!$C$4),KPI_Data!$D$2:$D$501,IF(Dashboard!$F$4="All","*",Dashboard!$F$4),KPI_Data!$B$2:$B$501,"&gt;="&amp;Dashboard!$I$4,KPI_Data!$B$2:$B$501,"&lt;="&amp;Dashboard!$L$4)</f>
        <v>1371874.68</v>
      </c>
      <c r="D6" s="12">
        <f>SUMIFS(KPI_Data!$I$2:$I$501,KPI_Data!$C$2:$C$501,A6,KPI_Data!$C$2:$C$501,IF(Dashboard!$C$4="All","*",Dashboard!$C$4),KPI_Data!$D$2:$D$501,IF(Dashboard!$F$4="All","*",Dashboard!$F$4),KPI_Data!$B$2:$B$501,"&gt;="&amp;Dashboard!$I$4,KPI_Data!$B$2:$B$501,"&lt;="&amp;Dashboard!$L$4)</f>
        <v>38479</v>
      </c>
      <c r="E6" s="13">
        <f>IFERROR(C6/B6,0)</f>
        <v>2.15159408947654</v>
      </c>
      <c r="F6" s="11">
        <f>C6-B6</f>
        <v>734266.18</v>
      </c>
    </row>
    <row r="7" customHeight="1" spans="1:6">
      <c r="A7" s="3" t="s">
        <v>25</v>
      </c>
      <c r="B7" s="11">
        <f>SUMIFS(KPI_Data!$F$2:$F$501,KPI_Data!$C$2:$C$501,A7,KPI_Data!$C$2:$C$501,IF(Dashboard!$C$4="All","*",Dashboard!$C$4),KPI_Data!$D$2:$D$501,IF(Dashboard!$F$4="All","*",Dashboard!$F$4),KPI_Data!$B$2:$B$501,"&gt;="&amp;Dashboard!$I$4,KPI_Data!$B$2:$B$501,"&lt;="&amp;Dashboard!$L$4)</f>
        <v>616798.73</v>
      </c>
      <c r="C7" s="11">
        <f>SUMIFS(KPI_Data!$J$2:$J$501,KPI_Data!$C$2:$C$501,A7,KPI_Data!$C$2:$C$501,IF(Dashboard!$C$4="All","*",Dashboard!$C$4),KPI_Data!$D$2:$D$501,IF(Dashboard!$F$4="All","*",Dashboard!$F$4),KPI_Data!$B$2:$B$501,"&gt;="&amp;Dashboard!$I$4,KPI_Data!$B$2:$B$501,"&lt;="&amp;Dashboard!$L$4)</f>
        <v>1413738</v>
      </c>
      <c r="D7" s="12">
        <f>SUMIFS(KPI_Data!$I$2:$I$501,KPI_Data!$C$2:$C$501,A7,KPI_Data!$C$2:$C$501,IF(Dashboard!$C$4="All","*",Dashboard!$C$4),KPI_Data!$D$2:$D$501,IF(Dashboard!$F$4="All","*",Dashboard!$F$4),KPI_Data!$B$2:$B$501,"&gt;="&amp;Dashboard!$I$4,KPI_Data!$B$2:$B$501,"&lt;="&amp;Dashboard!$L$4)</f>
        <v>39603</v>
      </c>
      <c r="E7" s="13">
        <f>IFERROR(C7/B7,0)</f>
        <v>2.29205724856146</v>
      </c>
      <c r="F7" s="11">
        <f>C7-B7</f>
        <v>796939.27</v>
      </c>
    </row>
    <row r="8" customHeight="1" spans="1:6">
      <c r="A8" s="3" t="s">
        <v>26</v>
      </c>
      <c r="B8" s="11">
        <f>SUMIFS(KPI_Data!$F$2:$F$501,KPI_Data!$C$2:$C$501,A8,KPI_Data!$C$2:$C$501,IF(Dashboard!$C$4="All","*",Dashboard!$C$4),KPI_Data!$D$2:$D$501,IF(Dashboard!$F$4="All","*",Dashboard!$F$4),KPI_Data!$B$2:$B$501,"&gt;="&amp;Dashboard!$I$4,KPI_Data!$B$2:$B$501,"&lt;="&amp;Dashboard!$L$4)</f>
        <v>652119.29</v>
      </c>
      <c r="C8" s="11">
        <f>SUMIFS(KPI_Data!$J$2:$J$501,KPI_Data!$C$2:$C$501,A8,KPI_Data!$C$2:$C$501,IF(Dashboard!$C$4="All","*",Dashboard!$C$4),KPI_Data!$D$2:$D$501,IF(Dashboard!$F$4="All","*",Dashboard!$F$4),KPI_Data!$B$2:$B$501,"&gt;="&amp;Dashboard!$I$4,KPI_Data!$B$2:$B$501,"&lt;="&amp;Dashboard!$L$4)</f>
        <v>1287791.22</v>
      </c>
      <c r="D8" s="12">
        <f>SUMIFS(KPI_Data!$I$2:$I$501,KPI_Data!$C$2:$C$501,A8,KPI_Data!$C$2:$C$501,IF(Dashboard!$C$4="All","*",Dashboard!$C$4),KPI_Data!$D$2:$D$501,IF(Dashboard!$F$4="All","*",Dashboard!$F$4),KPI_Data!$B$2:$B$501,"&gt;="&amp;Dashboard!$I$4,KPI_Data!$B$2:$B$501,"&lt;="&amp;Dashboard!$L$4)</f>
        <v>36570</v>
      </c>
      <c r="E8" s="13">
        <f>IFERROR(C8/B8,0)</f>
        <v>1.97477860224009</v>
      </c>
      <c r="F8" s="11">
        <f>C8-B8</f>
        <v>635671.93</v>
      </c>
    </row>
    <row r="9" customHeight="1" spans="1:6">
      <c r="A9" s="3" t="s">
        <v>27</v>
      </c>
      <c r="B9" s="11">
        <f>SUMIFS(KPI_Data!$F$2:$F$501,KPI_Data!$C$2:$C$501,A9,KPI_Data!$C$2:$C$501,IF(Dashboard!$C$4="All","*",Dashboard!$C$4),KPI_Data!$D$2:$D$501,IF(Dashboard!$F$4="All","*",Dashboard!$F$4),KPI_Data!$B$2:$B$501,"&gt;="&amp;Dashboard!$I$4,KPI_Data!$B$2:$B$501,"&lt;="&amp;Dashboard!$L$4)</f>
        <v>653781.56</v>
      </c>
      <c r="C9" s="11">
        <f>SUMIFS(KPI_Data!$J$2:$J$501,KPI_Data!$C$2:$C$501,A9,KPI_Data!$C$2:$C$501,IF(Dashboard!$C$4="All","*",Dashboard!$C$4),KPI_Data!$D$2:$D$501,IF(Dashboard!$F$4="All","*",Dashboard!$F$4),KPI_Data!$B$2:$B$501,"&gt;="&amp;Dashboard!$I$4,KPI_Data!$B$2:$B$501,"&lt;="&amp;Dashboard!$L$4)</f>
        <v>1193639.25</v>
      </c>
      <c r="D9" s="12">
        <f>SUMIFS(KPI_Data!$I$2:$I$501,KPI_Data!$C$2:$C$501,A9,KPI_Data!$C$2:$C$501,IF(Dashboard!$C$4="All","*",Dashboard!$C$4),KPI_Data!$D$2:$D$501,IF(Dashboard!$F$4="All","*",Dashboard!$F$4),KPI_Data!$B$2:$B$501,"&gt;="&amp;Dashboard!$I$4,KPI_Data!$B$2:$B$501,"&lt;="&amp;Dashboard!$L$4)</f>
        <v>34412</v>
      </c>
      <c r="E9" s="13">
        <f>IFERROR(C9/B9,0)</f>
        <v>1.82574627831351</v>
      </c>
      <c r="F9" s="11">
        <f>C9-B9</f>
        <v>539857.690000001</v>
      </c>
    </row>
    <row r="12" customHeight="1" spans="1:6">
      <c r="A12" s="10" t="s">
        <v>38</v>
      </c>
    </row>
    <row r="13" customHeight="1" spans="1:6">
      <c r="A13" s="2" t="s">
        <v>12</v>
      </c>
      <c r="B13" s="2" t="s">
        <v>33</v>
      </c>
      <c r="C13" s="2" t="s">
        <v>34</v>
      </c>
      <c r="D13" s="2" t="s">
        <v>35</v>
      </c>
      <c r="E13" s="2" t="s">
        <v>36</v>
      </c>
      <c r="F13" s="2" t="s">
        <v>37</v>
      </c>
    </row>
    <row r="14" customHeight="1" spans="1:6">
      <c r="A14" s="3" t="s">
        <v>15</v>
      </c>
      <c r="B14" s="11">
        <f>SUMIFS(KPI_Data!$F$2:$F$501,KPI_Data!$D$2:$D$501,A14,KPI_Data!$D$2:$D$501,IF(Dashboard!$F$4="All","*",Dashboard!$F$4),KPI_Data!$C$2:$C$501,IF(Dashboard!$C$4="All","*",Dashboard!$C$4),KPI_Data!$B$2:$B$501,"&gt;="&amp;Dashboard!$I$4,KPI_Data!$B$2:$B$501,"&lt;="&amp;Dashboard!$L$4)</f>
        <v>711702.88</v>
      </c>
      <c r="C14" s="11">
        <f>SUMIFS(KPI_Data!$J$2:$J$501,KPI_Data!$D$2:$D$501,A14,KPI_Data!$D$2:$D$501,IF(Dashboard!$F$4="All","*",Dashboard!$F$4),KPI_Data!$C$2:$C$501,IF(Dashboard!$C$4="All","*",Dashboard!$C$4),KPI_Data!$B$2:$B$501,"&gt;="&amp;Dashboard!$I$4,KPI_Data!$B$2:$B$501,"&lt;="&amp;Dashboard!$L$4)</f>
        <v>1431093.31</v>
      </c>
      <c r="D14" s="12">
        <f>SUMIFS(KPI_Data!$I$2:$I$501,KPI_Data!$D$2:$D$501,A14,KPI_Data!$D$2:$D$501,IF(Dashboard!$F$4="All","*",Dashboard!$F$4),KPI_Data!$C$2:$C$501,IF(Dashboard!$C$4="All","*",Dashboard!$C$4),KPI_Data!$B$2:$B$501,"&gt;="&amp;Dashboard!$I$4,KPI_Data!$B$2:$B$501,"&lt;="&amp;Dashboard!$L$4)</f>
        <v>41460</v>
      </c>
      <c r="E14" s="13">
        <f>IFERROR(C14/B14,0)</f>
        <v>2.01080162834243</v>
      </c>
      <c r="F14" s="11">
        <f>C14-B14</f>
        <v>719390.429999999</v>
      </c>
    </row>
    <row r="15" customHeight="1" spans="1:6">
      <c r="A15" s="3" t="s">
        <v>16</v>
      </c>
      <c r="B15" s="11">
        <f>SUMIFS(KPI_Data!$F$2:$F$501,KPI_Data!$D$2:$D$501,A15,KPI_Data!$D$2:$D$501,IF(Dashboard!$F$4="All","*",Dashboard!$F$4),KPI_Data!$C$2:$C$501,IF(Dashboard!$C$4="All","*",Dashboard!$C$4),KPI_Data!$B$2:$B$501,"&gt;="&amp;Dashboard!$I$4,KPI_Data!$B$2:$B$501,"&lt;="&amp;Dashboard!$L$4)</f>
        <v>838675.44</v>
      </c>
      <c r="C15" s="11">
        <f>SUMIFS(KPI_Data!$J$2:$J$501,KPI_Data!$D$2:$D$501,A15,KPI_Data!$D$2:$D$501,IF(Dashboard!$F$4="All","*",Dashboard!$F$4),KPI_Data!$C$2:$C$501,IF(Dashboard!$C$4="All","*",Dashboard!$C$4),KPI_Data!$B$2:$B$501,"&gt;="&amp;Dashboard!$I$4,KPI_Data!$B$2:$B$501,"&lt;="&amp;Dashboard!$L$4)</f>
        <v>1706679.86</v>
      </c>
      <c r="D15" s="12">
        <f>SUMIFS(KPI_Data!$I$2:$I$501,KPI_Data!$D$2:$D$501,A15,KPI_Data!$D$2:$D$501,IF(Dashboard!$F$4="All","*",Dashboard!$F$4),KPI_Data!$C$2:$C$501,IF(Dashboard!$C$4="All","*",Dashboard!$C$4),KPI_Data!$B$2:$B$501,"&gt;="&amp;Dashboard!$I$4,KPI_Data!$B$2:$B$501,"&lt;="&amp;Dashboard!$L$4)</f>
        <v>46771</v>
      </c>
      <c r="E15" s="13">
        <f>IFERROR(C15/B15,0)</f>
        <v>2.03497059601507</v>
      </c>
      <c r="F15" s="11">
        <f>C15-B15</f>
        <v>868004.420000001</v>
      </c>
    </row>
    <row r="16" customHeight="1" spans="1:6">
      <c r="A16" s="3" t="s">
        <v>17</v>
      </c>
      <c r="B16" s="11">
        <f>SUMIFS(KPI_Data!$F$2:$F$501,KPI_Data!$D$2:$D$501,A16,KPI_Data!$D$2:$D$501,IF(Dashboard!$F$4="All","*",Dashboard!$F$4),KPI_Data!$C$2:$C$501,IF(Dashboard!$C$4="All","*",Dashboard!$C$4),KPI_Data!$B$2:$B$501,"&gt;="&amp;Dashboard!$I$4,KPI_Data!$B$2:$B$501,"&lt;="&amp;Dashboard!$L$4)</f>
        <v>771410.08</v>
      </c>
      <c r="C16" s="11">
        <f>SUMIFS(KPI_Data!$J$2:$J$501,KPI_Data!$D$2:$D$501,A16,KPI_Data!$D$2:$D$501,IF(Dashboard!$F$4="All","*",Dashboard!$F$4),KPI_Data!$C$2:$C$501,IF(Dashboard!$C$4="All","*",Dashboard!$C$4),KPI_Data!$B$2:$B$501,"&gt;="&amp;Dashboard!$I$4,KPI_Data!$B$2:$B$501,"&lt;="&amp;Dashboard!$L$4)</f>
        <v>1662610.72</v>
      </c>
      <c r="D16" s="12">
        <f>SUMIFS(KPI_Data!$I$2:$I$501,KPI_Data!$D$2:$D$501,A16,KPI_Data!$D$2:$D$501,IF(Dashboard!$F$4="All","*",Dashboard!$F$4),KPI_Data!$C$2:$C$501,IF(Dashboard!$C$4="All","*",Dashboard!$C$4),KPI_Data!$B$2:$B$501,"&gt;="&amp;Dashboard!$I$4,KPI_Data!$B$2:$B$501,"&lt;="&amp;Dashboard!$L$4)</f>
        <v>47588</v>
      </c>
      <c r="E16" s="13">
        <f>IFERROR(C16/B16,0)</f>
        <v>2.1552877815649</v>
      </c>
      <c r="F16" s="11">
        <f>C16-B16</f>
        <v>891200.64</v>
      </c>
    </row>
    <row r="17" customHeight="1" spans="1:6">
      <c r="A17" s="3" t="s">
        <v>18</v>
      </c>
      <c r="B17" s="11">
        <f>SUMIFS(KPI_Data!$F$2:$F$501,KPI_Data!$D$2:$D$501,A17,KPI_Data!$D$2:$D$501,IF(Dashboard!$F$4="All","*",Dashboard!$F$4),KPI_Data!$C$2:$C$501,IF(Dashboard!$C$4="All","*",Dashboard!$C$4),KPI_Data!$B$2:$B$501,"&gt;="&amp;Dashboard!$I$4,KPI_Data!$B$2:$B$501,"&lt;="&amp;Dashboard!$L$4)</f>
        <v>810719.79</v>
      </c>
      <c r="C17" s="11">
        <f>SUMIFS(KPI_Data!$J$2:$J$501,KPI_Data!$D$2:$D$501,A17,KPI_Data!$D$2:$D$501,IF(Dashboard!$F$4="All","*",Dashboard!$F$4),KPI_Data!$C$2:$C$501,IF(Dashboard!$C$4="All","*",Dashboard!$C$4),KPI_Data!$B$2:$B$501,"&gt;="&amp;Dashboard!$I$4,KPI_Data!$B$2:$B$501,"&lt;="&amp;Dashboard!$L$4)</f>
        <v>1752564.19</v>
      </c>
      <c r="D17" s="12">
        <f>SUMIFS(KPI_Data!$I$2:$I$501,KPI_Data!$D$2:$D$501,A17,KPI_Data!$D$2:$D$501,IF(Dashboard!$F$4="All","*",Dashboard!$F$4),KPI_Data!$C$2:$C$501,IF(Dashboard!$C$4="All","*",Dashboard!$C$4),KPI_Data!$B$2:$B$501,"&gt;="&amp;Dashboard!$I$4,KPI_Data!$B$2:$B$501,"&lt;="&amp;Dashboard!$L$4)</f>
        <v>48707</v>
      </c>
      <c r="E17" s="13">
        <f>IFERROR(C17/B17,0)</f>
        <v>2.16173850893661</v>
      </c>
      <c r="F17" s="11">
        <f>C17-B17</f>
        <v>941844.4</v>
      </c>
    </row>
    <row r="20" customHeight="1" spans="1:6">
      <c r="A20" s="10" t="s">
        <v>39</v>
      </c>
    </row>
    <row r="21" customHeight="1" spans="1:6">
      <c r="A21" s="2" t="s">
        <v>40</v>
      </c>
      <c r="B21" s="2" t="s">
        <v>33</v>
      </c>
      <c r="C21" s="2" t="s">
        <v>34</v>
      </c>
      <c r="D21" s="2" t="s">
        <v>35</v>
      </c>
    </row>
    <row r="22" customHeight="1" spans="1:6">
      <c r="A22" s="3" t="s">
        <v>41</v>
      </c>
      <c r="B22" s="11">
        <f>SUMIFS(KPI_Data!$F$2:$F$501,KPI_Data!$Q$2:$Q$501,A22,KPI_Data!$C$2:$C$501,IF(Dashboard!$C$4="All","*",Dashboard!$C$4),KPI_Data!$D$2:$D$501,IF(Dashboard!$F$4="All","*",Dashboard!$F$4))</f>
        <v>387223.67</v>
      </c>
      <c r="C22" s="11">
        <f>SUMIFS(KPI_Data!$J$2:$J$501,KPI_Data!$Q$2:$Q$501,A22,KPI_Data!$C$2:$C$501,IF(Dashboard!$C$4="All","*",Dashboard!$C$4),KPI_Data!$D$2:$D$501,IF(Dashboard!$F$4="All","*",Dashboard!$F$4))</f>
        <v>669060.35</v>
      </c>
      <c r="D22" s="12">
        <f>SUMIFS(KPI_Data!$I$2:$I$501,KPI_Data!$Q$2:$Q$501,A22,KPI_Data!$C$2:$C$501,IF(Dashboard!$C$4="All","*",Dashboard!$C$4),KPI_Data!$D$2:$D$501,IF(Dashboard!$F$4="All","*",Dashboard!$F$4))</f>
        <v>18177</v>
      </c>
    </row>
    <row r="23" customHeight="1" spans="1:6">
      <c r="A23" s="3" t="s">
        <v>42</v>
      </c>
      <c r="B23" s="11">
        <f>SUMIFS(KPI_Data!$F$2:$F$501,KPI_Data!$Q$2:$Q$501,A23,KPI_Data!$C$2:$C$501,IF(Dashboard!$C$4="All","*",Dashboard!$C$4),KPI_Data!$D$2:$D$501,IF(Dashboard!$F$4="All","*",Dashboard!$F$4))</f>
        <v>451320.34</v>
      </c>
      <c r="C23" s="11">
        <f>SUMIFS(KPI_Data!$J$2:$J$501,KPI_Data!$Q$2:$Q$501,A23,KPI_Data!$C$2:$C$501,IF(Dashboard!$C$4="All","*",Dashboard!$C$4),KPI_Data!$D$2:$D$501,IF(Dashboard!$F$4="All","*",Dashboard!$F$4))</f>
        <v>1049410.8</v>
      </c>
      <c r="D23" s="12">
        <f>SUMIFS(KPI_Data!$I$2:$I$501,KPI_Data!$Q$2:$Q$501,A23,KPI_Data!$C$2:$C$501,IF(Dashboard!$C$4="All","*",Dashboard!$C$4),KPI_Data!$D$2:$D$501,IF(Dashboard!$F$4="All","*",Dashboard!$F$4))</f>
        <v>28935</v>
      </c>
    </row>
    <row r="24" customHeight="1" spans="1:6">
      <c r="A24" s="3" t="s">
        <v>43</v>
      </c>
      <c r="B24" s="11">
        <f>SUMIFS(KPI_Data!$F$2:$F$501,KPI_Data!$Q$2:$Q$501,A24,KPI_Data!$C$2:$C$501,IF(Dashboard!$C$4="All","*",Dashboard!$C$4),KPI_Data!$D$2:$D$501,IF(Dashboard!$F$4="All","*",Dashboard!$F$4))</f>
        <v>519247.21</v>
      </c>
      <c r="C24" s="11">
        <f>SUMIFS(KPI_Data!$J$2:$J$501,KPI_Data!$Q$2:$Q$501,A24,KPI_Data!$C$2:$C$501,IF(Dashboard!$C$4="All","*",Dashboard!$C$4),KPI_Data!$D$2:$D$501,IF(Dashboard!$F$4="All","*",Dashboard!$F$4))</f>
        <v>1178268.76</v>
      </c>
      <c r="D24" s="12">
        <f>SUMIFS(KPI_Data!$I$2:$I$501,KPI_Data!$Q$2:$Q$501,A24,KPI_Data!$C$2:$C$501,IF(Dashboard!$C$4="All","*",Dashboard!$C$4),KPI_Data!$D$2:$D$501,IF(Dashboard!$F$4="All","*",Dashboard!$F$4))</f>
        <v>32571</v>
      </c>
    </row>
    <row r="25" customHeight="1" spans="1:6">
      <c r="A25" s="3" t="s">
        <v>44</v>
      </c>
      <c r="B25" s="11">
        <f>SUMIFS(KPI_Data!$F$2:$F$501,KPI_Data!$Q$2:$Q$501,A25,KPI_Data!$C$2:$C$501,IF(Dashboard!$C$4="All","*",Dashboard!$C$4),KPI_Data!$D$2:$D$501,IF(Dashboard!$F$4="All","*",Dashboard!$F$4))</f>
        <v>437450.39</v>
      </c>
      <c r="C25" s="11">
        <f>SUMIFS(KPI_Data!$J$2:$J$501,KPI_Data!$Q$2:$Q$501,A25,KPI_Data!$C$2:$C$501,IF(Dashboard!$C$4="All","*",Dashboard!$C$4),KPI_Data!$D$2:$D$501,IF(Dashboard!$F$4="All","*",Dashboard!$F$4))</f>
        <v>941547.01</v>
      </c>
      <c r="D25" s="12">
        <f>SUMIFS(KPI_Data!$I$2:$I$501,KPI_Data!$Q$2:$Q$501,A25,KPI_Data!$C$2:$C$501,IF(Dashboard!$C$4="All","*",Dashboard!$C$4),KPI_Data!$D$2:$D$501,IF(Dashboard!$F$4="All","*",Dashboard!$F$4))</f>
        <v>26943</v>
      </c>
    </row>
    <row r="26" customHeight="1" spans="1:6">
      <c r="A26" s="3" t="s">
        <v>45</v>
      </c>
      <c r="B26" s="11">
        <f>SUMIFS(KPI_Data!$F$2:$F$501,KPI_Data!$Q$2:$Q$501,A26,KPI_Data!$C$2:$C$501,IF(Dashboard!$C$4="All","*",Dashboard!$C$4),KPI_Data!$D$2:$D$501,IF(Dashboard!$F$4="All","*",Dashboard!$F$4))</f>
        <v>649014.28</v>
      </c>
      <c r="C26" s="11">
        <f>SUMIFS(KPI_Data!$J$2:$J$501,KPI_Data!$Q$2:$Q$501,A26,KPI_Data!$C$2:$C$501,IF(Dashboard!$C$4="All","*",Dashboard!$C$4),KPI_Data!$D$2:$D$501,IF(Dashboard!$F$4="All","*",Dashboard!$F$4))</f>
        <v>1226839</v>
      </c>
      <c r="D26" s="12">
        <f>SUMIFS(KPI_Data!$I$2:$I$501,KPI_Data!$Q$2:$Q$501,A26,KPI_Data!$C$2:$C$501,IF(Dashboard!$C$4="All","*",Dashboard!$C$4),KPI_Data!$D$2:$D$501,IF(Dashboard!$F$4="All","*",Dashboard!$F$4))</f>
        <v>36584</v>
      </c>
    </row>
    <row r="27" customHeight="1" spans="1:6">
      <c r="A27" s="3" t="s">
        <v>46</v>
      </c>
      <c r="B27" s="11">
        <f>SUMIFS(KPI_Data!$F$2:$F$501,KPI_Data!$Q$2:$Q$501,A27,KPI_Data!$C$2:$C$501,IF(Dashboard!$C$4="All","*",Dashboard!$C$4),KPI_Data!$D$2:$D$501,IF(Dashboard!$F$4="All","*",Dashboard!$F$4))</f>
        <v>558132.99</v>
      </c>
      <c r="C27" s="11">
        <f>SUMIFS(KPI_Data!$J$2:$J$501,KPI_Data!$Q$2:$Q$501,A27,KPI_Data!$C$2:$C$501,IF(Dashboard!$C$4="All","*",Dashboard!$C$4),KPI_Data!$D$2:$D$501,IF(Dashboard!$F$4="All","*",Dashboard!$F$4))</f>
        <v>1149303.78</v>
      </c>
      <c r="D27" s="12">
        <f>SUMIFS(KPI_Data!$I$2:$I$501,KPI_Data!$Q$2:$Q$501,A27,KPI_Data!$C$2:$C$501,IF(Dashboard!$C$4="All","*",Dashboard!$C$4),KPI_Data!$D$2:$D$501,IF(Dashboard!$F$4="All","*",Dashboard!$F$4))</f>
        <v>32256</v>
      </c>
    </row>
    <row r="28" customHeight="1" spans="1:6">
      <c r="A28" s="3" t="s">
        <v>47</v>
      </c>
      <c r="B28" s="11">
        <f>SUMIFS(KPI_Data!$F$2:$F$501,KPI_Data!$Q$2:$Q$501,A28,KPI_Data!$C$2:$C$501,IF(Dashboard!$C$4="All","*",Dashboard!$C$4),KPI_Data!$D$2:$D$501,IF(Dashboard!$F$4="All","*",Dashboard!$F$4))</f>
        <v>130119.31</v>
      </c>
      <c r="C28" s="11">
        <f>SUMIFS(KPI_Data!$J$2:$J$501,KPI_Data!$Q$2:$Q$501,A28,KPI_Data!$C$2:$C$501,IF(Dashboard!$C$4="All","*",Dashboard!$C$4),KPI_Data!$D$2:$D$501,IF(Dashboard!$F$4="All","*",Dashboard!$F$4))</f>
        <v>338518.38</v>
      </c>
      <c r="D28" s="12">
        <f>SUMIFS(KPI_Data!$I$2:$I$501,KPI_Data!$Q$2:$Q$501,A28,KPI_Data!$C$2:$C$501,IF(Dashboard!$C$4="All","*",Dashboard!$C$4),KPI_Data!$D$2:$D$501,IF(Dashboard!$F$4="All","*",Dashboard!$F$4))</f>
        <v>9060</v>
      </c>
    </row>
    <row r="31" customHeight="1" spans="1:6">
      <c r="A31" s="10" t="s">
        <v>48</v>
      </c>
    </row>
    <row r="32" customHeight="1" spans="1:6">
      <c r="A32" s="2" t="s">
        <v>49</v>
      </c>
      <c r="B32" s="2" t="s">
        <v>50</v>
      </c>
    </row>
    <row r="33" customHeight="1" spans="1:2">
      <c r="A33" s="3" t="s">
        <v>51</v>
      </c>
      <c r="B33" s="14">
        <f>SUMIFS(KPI_Data!$G$2:$G$501,KPI_Data!$C$2:$C$501,IF(Dashboard!$C$4="All","*",Dashboard!$C$4),KPI_Data!$D$2:$D$501,IF(Dashboard!$F$4="All","*",Dashboard!$F$4),KPI_Data!$B$2:$B$501,"&gt;="&amp;Dashboard!$I$4,KPI_Data!$B$2:$B$501,"&lt;="&amp;Dashboard!$L$4)</f>
        <v>62386067</v>
      </c>
    </row>
    <row r="34" customHeight="1" spans="1:2">
      <c r="A34" s="3" t="s">
        <v>52</v>
      </c>
      <c r="B34" s="14">
        <f>SUMIFS(KPI_Data!$H$2:$H$501,KPI_Data!$C$2:$C$501,IF(Dashboard!$C$4="All","*",Dashboard!$C$4),KPI_Data!$D$2:$D$501,IF(Dashboard!$F$4="All","*",Dashboard!$F$4),KPI_Data!$B$2:$B$501,"&gt;="&amp;Dashboard!$I$4,KPI_Data!$B$2:$B$501,"&lt;="&amp;Dashboard!$L$4)</f>
        <v>1814121</v>
      </c>
    </row>
    <row r="35" customHeight="1" spans="1:2">
      <c r="A35" s="3" t="s">
        <v>35</v>
      </c>
      <c r="B35" s="14">
        <f>SUMIFS(KPI_Data!$I$2:$I$501,KPI_Data!$C$2:$C$501,IF(Dashboard!$C$4="All","*",Dashboard!$C$4),KPI_Data!$D$2:$D$501,IF(Dashboard!$F$4="All","*",Dashboard!$F$4),KPI_Data!$B$2:$B$501,"&gt;="&amp;Dashboard!$I$4,KPI_Data!$B$2:$B$501,"&lt;="&amp;Dashboard!$L$4)</f>
        <v>184526</v>
      </c>
    </row>
    <row r="38" customHeight="1" spans="1:2">
      <c r="A38" s="10" t="s">
        <v>53</v>
      </c>
    </row>
    <row r="39" customHeight="1" spans="1:2">
      <c r="A39" s="2" t="s">
        <v>13</v>
      </c>
      <c r="B39" s="2" t="s">
        <v>54</v>
      </c>
    </row>
    <row r="40" customHeight="1" spans="1:2">
      <c r="A40" s="3" t="s">
        <v>20</v>
      </c>
      <c r="B40" s="11">
        <f>SUMIFS(KPI_Data!$E$2:$E$501,KPI_Data!$C$2:$C$501,A40,KPI_Data!$C$2:$C$501,IF(Dashboard!$C$4="All","*",Dashboard!$C$4),KPI_Data!$D$2:$D$501,IF(Dashboard!$F$4="All","*",Dashboard!$F$4),KPI_Data!$B$2:$B$501,"&gt;="&amp;Dashboard!$I$4,KPI_Data!$B$2:$B$501,"&lt;="&amp;Dashboard!$L$4)</f>
        <v>609756.67</v>
      </c>
    </row>
    <row r="41" customHeight="1" spans="1:2">
      <c r="A41" s="3" t="s">
        <v>24</v>
      </c>
      <c r="B41" s="11">
        <f>SUMIFS(KPI_Data!$E$2:$E$501,KPI_Data!$C$2:$C$501,A41,KPI_Data!$C$2:$C$501,IF(Dashboard!$C$4="All","*",Dashboard!$C$4),KPI_Data!$D$2:$D$501,IF(Dashboard!$F$4="All","*",Dashboard!$F$4),KPI_Data!$B$2:$B$501,"&gt;="&amp;Dashboard!$I$4,KPI_Data!$B$2:$B$501,"&lt;="&amp;Dashboard!$L$4)</f>
        <v>658766.93</v>
      </c>
    </row>
    <row r="42" customHeight="1" spans="1:2">
      <c r="A42" s="3" t="s">
        <v>25</v>
      </c>
      <c r="B42" s="11">
        <f>SUMIFS(KPI_Data!$E$2:$E$501,KPI_Data!$C$2:$C$501,A42,KPI_Data!$C$2:$C$501,IF(Dashboard!$C$4="All","*",Dashboard!$C$4),KPI_Data!$D$2:$D$501,IF(Dashboard!$F$4="All","*",Dashboard!$F$4),KPI_Data!$B$2:$B$501,"&gt;="&amp;Dashboard!$I$4,KPI_Data!$B$2:$B$501,"&lt;="&amp;Dashboard!$L$4)</f>
        <v>655972.1</v>
      </c>
    </row>
    <row r="43" customHeight="1" spans="1:2">
      <c r="A43" s="3" t="s">
        <v>26</v>
      </c>
      <c r="B43" s="11">
        <f>SUMIFS(KPI_Data!$E$2:$E$501,KPI_Data!$C$2:$C$501,A43,KPI_Data!$C$2:$C$501,IF(Dashboard!$C$4="All","*",Dashboard!$C$4),KPI_Data!$D$2:$D$501,IF(Dashboard!$F$4="All","*",Dashboard!$F$4),KPI_Data!$B$2:$B$501,"&gt;="&amp;Dashboard!$I$4,KPI_Data!$B$2:$B$501,"&lt;="&amp;Dashboard!$L$4)</f>
        <v>689111.07</v>
      </c>
    </row>
    <row r="44" customHeight="1" spans="1:2">
      <c r="A44" s="3" t="s">
        <v>27</v>
      </c>
      <c r="B44" s="11">
        <f>SUMIFS(KPI_Data!$E$2:$E$501,KPI_Data!$C$2:$C$501,A44,KPI_Data!$C$2:$C$501,IF(Dashboard!$C$4="All","*",Dashboard!$C$4),KPI_Data!$D$2:$D$501,IF(Dashboard!$F$4="All","*",Dashboard!$F$4),KPI_Data!$B$2:$B$501,"&gt;="&amp;Dashboard!$I$4,KPI_Data!$B$2:$B$501,"&lt;="&amp;Dashboard!$L$4)</f>
        <v>698066.24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1"/>
  <sheetViews>
    <sheetView workbookViewId="0">
      <pane ySplit="1" topLeftCell="A2" activePane="bottomLeft" state="frozen"/>
      <selection/>
      <selection pane="bottomLeft" activeCell="Q19" sqref="Q19"/>
    </sheetView>
  </sheetViews>
  <sheetFormatPr defaultColWidth="8.67619047619048" defaultRowHeight="15"/>
  <cols>
    <col min="1" max="3" width="12" style="1" customWidth="1"/>
    <col min="4" max="4" width="10" style="1" customWidth="1"/>
    <col min="5" max="7" width="12" style="1" customWidth="1"/>
    <col min="8" max="8" width="9" style="1" customWidth="1"/>
    <col min="9" max="9" width="11" style="1" customWidth="1"/>
    <col min="10" max="10" width="13" style="1" customWidth="1"/>
    <col min="11" max="11" width="9" style="1" customWidth="1"/>
    <col min="12" max="13" width="10" style="1" customWidth="1"/>
    <col min="14" max="14" width="9" style="1" customWidth="1"/>
    <col min="15" max="15" width="12" style="1" customWidth="1"/>
    <col min="16" max="16" width="14" style="1" customWidth="1"/>
    <col min="17" max="17" width="11" style="1" customWidth="1"/>
  </cols>
  <sheetData>
    <row r="1" customHeight="1" spans="1:17">
      <c r="A1" s="2" t="s">
        <v>55</v>
      </c>
      <c r="B1" s="2" t="s">
        <v>56</v>
      </c>
      <c r="C1" s="2" t="s">
        <v>13</v>
      </c>
      <c r="D1" s="2" t="s">
        <v>12</v>
      </c>
      <c r="E1" s="2" t="s">
        <v>54</v>
      </c>
      <c r="F1" s="2" t="s">
        <v>33</v>
      </c>
      <c r="G1" s="2" t="s">
        <v>51</v>
      </c>
      <c r="H1" s="2" t="s">
        <v>52</v>
      </c>
      <c r="I1" s="2" t="s">
        <v>35</v>
      </c>
      <c r="J1" s="2" t="s">
        <v>34</v>
      </c>
      <c r="K1" s="2" t="s">
        <v>57</v>
      </c>
      <c r="L1" s="2" t="s">
        <v>58</v>
      </c>
      <c r="M1" s="2" t="s">
        <v>59</v>
      </c>
      <c r="N1" s="2" t="s">
        <v>36</v>
      </c>
      <c r="O1" s="2" t="s">
        <v>37</v>
      </c>
      <c r="P1" s="2" t="s">
        <v>60</v>
      </c>
      <c r="Q1" s="2" t="s">
        <v>40</v>
      </c>
    </row>
    <row r="2" customHeight="1" spans="1:17">
      <c r="A2" s="3" t="str">
        <f>Raw_Data!A2</f>
        <v>C0498</v>
      </c>
      <c r="B2" s="4">
        <f>Raw_Data!B2</f>
        <v>45636</v>
      </c>
      <c r="C2" s="3" t="str">
        <f>Raw_Data!C2</f>
        <v>Facebook</v>
      </c>
      <c r="D2" s="3" t="str">
        <f>Raw_Data!D2</f>
        <v>East</v>
      </c>
      <c r="E2" s="5">
        <f>Raw_Data!E2</f>
        <v>5612.76</v>
      </c>
      <c r="F2" s="5">
        <f>Raw_Data!F2</f>
        <v>4872.89</v>
      </c>
      <c r="G2" s="3">
        <f>Raw_Data!G2</f>
        <v>107940</v>
      </c>
      <c r="H2" s="3">
        <f>Raw_Data!H2</f>
        <v>2915</v>
      </c>
      <c r="I2" s="3">
        <f>Raw_Data!I2</f>
        <v>150</v>
      </c>
      <c r="J2" s="5">
        <f>Raw_Data!J2</f>
        <v>3329.38</v>
      </c>
      <c r="K2" s="6">
        <f t="shared" ref="K2:K65" si="0">IFERROR(H2/G2,0)</f>
        <v>0.027005743931814</v>
      </c>
      <c r="L2" s="5">
        <f t="shared" ref="L2:L65" si="1">IFERROR(F2/H2,0)</f>
        <v>1.67166037735849</v>
      </c>
      <c r="M2" s="5">
        <f t="shared" ref="M2:M65" si="2">IFERROR(F2/I2,0)</f>
        <v>32.4859333333333</v>
      </c>
      <c r="N2" s="7">
        <f t="shared" ref="N2:N65" si="3">IFERROR(J2/F2,0)</f>
        <v>0.683245466242825</v>
      </c>
      <c r="O2" s="5">
        <f t="shared" ref="O2:O65" si="4">J2-F2</f>
        <v>-1543.51</v>
      </c>
      <c r="P2" s="8">
        <f t="shared" ref="P2:P65" si="5">IFERROR(O2/J2*100,0)</f>
        <v>-46.360283295989</v>
      </c>
      <c r="Q2" s="3" t="str">
        <f t="shared" ref="Q2:Q65" si="6">TEXT(B2,"YYYY-MM")</f>
        <v>2024-12</v>
      </c>
    </row>
    <row r="3" customHeight="1" spans="1:17">
      <c r="A3" s="3" t="str">
        <f>Raw_Data!A3</f>
        <v>C0170</v>
      </c>
      <c r="B3" s="4">
        <f>Raw_Data!B3</f>
        <v>45636</v>
      </c>
      <c r="C3" s="3" t="str">
        <f>Raw_Data!C3</f>
        <v>Twitter</v>
      </c>
      <c r="D3" s="3" t="str">
        <f>Raw_Data!D3</f>
        <v>North</v>
      </c>
      <c r="E3" s="5">
        <f>Raw_Data!E3</f>
        <v>8757.76</v>
      </c>
      <c r="F3" s="5">
        <f>Raw_Data!F3</f>
        <v>9501.64</v>
      </c>
      <c r="G3" s="3">
        <f>Raw_Data!G3</f>
        <v>75315</v>
      </c>
      <c r="H3" s="3">
        <f>Raw_Data!H3</f>
        <v>1121</v>
      </c>
      <c r="I3" s="3">
        <f>Raw_Data!I3</f>
        <v>85</v>
      </c>
      <c r="J3" s="5">
        <f>Raw_Data!J3</f>
        <v>3550.58</v>
      </c>
      <c r="K3" s="6">
        <f t="shared" si="0"/>
        <v>0.0148841532231295</v>
      </c>
      <c r="L3" s="5">
        <f t="shared" si="1"/>
        <v>8.47603925066904</v>
      </c>
      <c r="M3" s="5">
        <f t="shared" si="2"/>
        <v>111.784</v>
      </c>
      <c r="N3" s="7">
        <f t="shared" si="3"/>
        <v>0.373680754059299</v>
      </c>
      <c r="O3" s="5">
        <f t="shared" si="4"/>
        <v>-5951.06</v>
      </c>
      <c r="P3" s="8">
        <f t="shared" si="5"/>
        <v>-167.608109097669</v>
      </c>
      <c r="Q3" s="3" t="str">
        <f t="shared" si="6"/>
        <v>2024-12</v>
      </c>
    </row>
    <row r="4" customHeight="1" spans="1:17">
      <c r="A4" s="3" t="str">
        <f>Raw_Data!A4</f>
        <v>C0215</v>
      </c>
      <c r="B4" s="4">
        <f>Raw_Data!B4</f>
        <v>45636</v>
      </c>
      <c r="C4" s="3" t="str">
        <f>Raw_Data!C4</f>
        <v>Google Ads</v>
      </c>
      <c r="D4" s="3" t="str">
        <f>Raw_Data!D4</f>
        <v>East</v>
      </c>
      <c r="E4" s="5">
        <f>Raw_Data!E4</f>
        <v>4480.14</v>
      </c>
      <c r="F4" s="5">
        <f>Raw_Data!F4</f>
        <v>4024.28</v>
      </c>
      <c r="G4" s="3">
        <f>Raw_Data!G4</f>
        <v>177951</v>
      </c>
      <c r="H4" s="3">
        <f>Raw_Data!H4</f>
        <v>3898</v>
      </c>
      <c r="I4" s="3">
        <f>Raw_Data!I4</f>
        <v>283</v>
      </c>
      <c r="J4" s="5">
        <f>Raw_Data!J4</f>
        <v>6676.78</v>
      </c>
      <c r="K4" s="6">
        <f t="shared" si="0"/>
        <v>0.0219049064068199</v>
      </c>
      <c r="L4" s="5">
        <f t="shared" si="1"/>
        <v>1.03239610056439</v>
      </c>
      <c r="M4" s="5">
        <f t="shared" si="2"/>
        <v>14.2200706713781</v>
      </c>
      <c r="N4" s="7">
        <f t="shared" si="3"/>
        <v>1.65912411661216</v>
      </c>
      <c r="O4" s="5">
        <f t="shared" si="4"/>
        <v>2652.5</v>
      </c>
      <c r="P4" s="8">
        <f t="shared" si="5"/>
        <v>39.7272337863461</v>
      </c>
      <c r="Q4" s="3" t="str">
        <f t="shared" si="6"/>
        <v>2024-12</v>
      </c>
    </row>
    <row r="5" customHeight="1" spans="1:17">
      <c r="A5" s="3" t="str">
        <f>Raw_Data!A5</f>
        <v>C0077</v>
      </c>
      <c r="B5" s="4">
        <f>Raw_Data!B5</f>
        <v>45636</v>
      </c>
      <c r="C5" s="3" t="str">
        <f>Raw_Data!C5</f>
        <v>Twitter</v>
      </c>
      <c r="D5" s="3" t="str">
        <f>Raw_Data!D5</f>
        <v>East</v>
      </c>
      <c r="E5" s="5">
        <f>Raw_Data!E5</f>
        <v>9244.33</v>
      </c>
      <c r="F5" s="5">
        <f>Raw_Data!F5</f>
        <v>9145.8</v>
      </c>
      <c r="G5" s="3">
        <f>Raw_Data!G5</f>
        <v>55244</v>
      </c>
      <c r="H5" s="3">
        <f>Raw_Data!H5</f>
        <v>2028</v>
      </c>
      <c r="I5" s="3">
        <f>Raw_Data!I5</f>
        <v>320</v>
      </c>
      <c r="J5" s="5">
        <f>Raw_Data!J5</f>
        <v>14030.19</v>
      </c>
      <c r="K5" s="6">
        <f t="shared" si="0"/>
        <v>0.0367098689450438</v>
      </c>
      <c r="L5" s="5">
        <f t="shared" si="1"/>
        <v>4.50976331360947</v>
      </c>
      <c r="M5" s="5">
        <f t="shared" si="2"/>
        <v>28.580625</v>
      </c>
      <c r="N5" s="7">
        <f t="shared" si="3"/>
        <v>1.53405825624877</v>
      </c>
      <c r="O5" s="5">
        <f t="shared" si="4"/>
        <v>4884.39</v>
      </c>
      <c r="P5" s="8">
        <f t="shared" si="5"/>
        <v>34.8134273306349</v>
      </c>
      <c r="Q5" s="3" t="str">
        <f t="shared" si="6"/>
        <v>2024-12</v>
      </c>
    </row>
    <row r="6" customHeight="1" spans="1:17">
      <c r="A6" s="3" t="str">
        <f>Raw_Data!A6</f>
        <v>C0175</v>
      </c>
      <c r="B6" s="4">
        <f>Raw_Data!B6</f>
        <v>45637</v>
      </c>
      <c r="C6" s="3" t="str">
        <f>Raw_Data!C6</f>
        <v>Instagram</v>
      </c>
      <c r="D6" s="3" t="str">
        <f>Raw_Data!D6</f>
        <v>West</v>
      </c>
      <c r="E6" s="5">
        <f>Raw_Data!E6</f>
        <v>9789.4</v>
      </c>
      <c r="F6" s="5">
        <f>Raw_Data!F6</f>
        <v>10304.67</v>
      </c>
      <c r="G6" s="3">
        <f>Raw_Data!G6</f>
        <v>143568</v>
      </c>
      <c r="H6" s="3">
        <f>Raw_Data!H6</f>
        <v>6593</v>
      </c>
      <c r="I6" s="3">
        <f>Raw_Data!I6</f>
        <v>869</v>
      </c>
      <c r="J6" s="5">
        <f>Raw_Data!J6</f>
        <v>39235.23</v>
      </c>
      <c r="K6" s="6">
        <f t="shared" si="0"/>
        <v>0.0459224896912961</v>
      </c>
      <c r="L6" s="5">
        <f t="shared" si="1"/>
        <v>1.56297133323222</v>
      </c>
      <c r="M6" s="5">
        <f t="shared" si="2"/>
        <v>11.8580782508631</v>
      </c>
      <c r="N6" s="7">
        <f t="shared" si="3"/>
        <v>3.80751930920641</v>
      </c>
      <c r="O6" s="5">
        <f t="shared" si="4"/>
        <v>28930.56</v>
      </c>
      <c r="P6" s="8">
        <f t="shared" si="5"/>
        <v>73.7361804684209</v>
      </c>
      <c r="Q6" s="3" t="str">
        <f t="shared" si="6"/>
        <v>2024-12</v>
      </c>
    </row>
    <row r="7" customHeight="1" spans="1:17">
      <c r="A7" s="3" t="str">
        <f>Raw_Data!A7</f>
        <v>C0210</v>
      </c>
      <c r="B7" s="4">
        <f>Raw_Data!B7</f>
        <v>45637</v>
      </c>
      <c r="C7" s="3" t="str">
        <f>Raw_Data!C7</f>
        <v>LinkedIn</v>
      </c>
      <c r="D7" s="3" t="str">
        <f>Raw_Data!D7</f>
        <v>West</v>
      </c>
      <c r="E7" s="5">
        <f>Raw_Data!E7</f>
        <v>8232.3</v>
      </c>
      <c r="F7" s="5">
        <f>Raw_Data!F7</f>
        <v>6676.44</v>
      </c>
      <c r="G7" s="3">
        <f>Raw_Data!G7</f>
        <v>195298</v>
      </c>
      <c r="H7" s="3">
        <f>Raw_Data!H7</f>
        <v>3830</v>
      </c>
      <c r="I7" s="3">
        <f>Raw_Data!I7</f>
        <v>340</v>
      </c>
      <c r="J7" s="5">
        <f>Raw_Data!J7</f>
        <v>9374.86</v>
      </c>
      <c r="K7" s="6">
        <f t="shared" si="0"/>
        <v>0.0196110559247919</v>
      </c>
      <c r="L7" s="5">
        <f t="shared" si="1"/>
        <v>1.74319582245431</v>
      </c>
      <c r="M7" s="5">
        <f t="shared" si="2"/>
        <v>19.6365882352941</v>
      </c>
      <c r="N7" s="7">
        <f t="shared" si="3"/>
        <v>1.40417048606743</v>
      </c>
      <c r="O7" s="5">
        <f t="shared" si="4"/>
        <v>2698.42</v>
      </c>
      <c r="P7" s="8">
        <f t="shared" si="5"/>
        <v>28.7835765014091</v>
      </c>
      <c r="Q7" s="3" t="str">
        <f t="shared" si="6"/>
        <v>2024-12</v>
      </c>
    </row>
    <row r="8" customHeight="1" spans="1:17">
      <c r="A8" s="3" t="str">
        <f>Raw_Data!A8</f>
        <v>C0256</v>
      </c>
      <c r="B8" s="4">
        <f>Raw_Data!B8</f>
        <v>45637</v>
      </c>
      <c r="C8" s="3" t="str">
        <f>Raw_Data!C8</f>
        <v>Instagram</v>
      </c>
      <c r="D8" s="3" t="str">
        <f>Raw_Data!D8</f>
        <v>South</v>
      </c>
      <c r="E8" s="5">
        <f>Raw_Data!E8</f>
        <v>6989.23</v>
      </c>
      <c r="F8" s="5">
        <f>Raw_Data!F8</f>
        <v>7190.08</v>
      </c>
      <c r="G8" s="3">
        <f>Raw_Data!G8</f>
        <v>119284</v>
      </c>
      <c r="H8" s="3">
        <f>Raw_Data!H8</f>
        <v>1389</v>
      </c>
      <c r="I8" s="3">
        <f>Raw_Data!I8</f>
        <v>211</v>
      </c>
      <c r="J8" s="5">
        <f>Raw_Data!J8</f>
        <v>9769.93</v>
      </c>
      <c r="K8" s="6">
        <f t="shared" si="0"/>
        <v>0.0116444787230475</v>
      </c>
      <c r="L8" s="5">
        <f t="shared" si="1"/>
        <v>5.17644348452124</v>
      </c>
      <c r="M8" s="5">
        <f t="shared" si="2"/>
        <v>34.0762085308057</v>
      </c>
      <c r="N8" s="7">
        <f t="shared" si="3"/>
        <v>1.35880685611287</v>
      </c>
      <c r="O8" s="5">
        <f t="shared" si="4"/>
        <v>2579.85</v>
      </c>
      <c r="P8" s="8">
        <f t="shared" si="5"/>
        <v>26.4060233799014</v>
      </c>
      <c r="Q8" s="3" t="str">
        <f t="shared" si="6"/>
        <v>2024-12</v>
      </c>
    </row>
    <row r="9" customHeight="1" spans="1:17">
      <c r="A9" s="3" t="str">
        <f>Raw_Data!A9</f>
        <v>C0338</v>
      </c>
      <c r="B9" s="4">
        <f>Raw_Data!B9</f>
        <v>45637</v>
      </c>
      <c r="C9" s="3" t="str">
        <f>Raw_Data!C9</f>
        <v>Twitter</v>
      </c>
      <c r="D9" s="3" t="str">
        <f>Raw_Data!D9</f>
        <v>East</v>
      </c>
      <c r="E9" s="5">
        <f>Raw_Data!E9</f>
        <v>9913.68</v>
      </c>
      <c r="F9" s="5">
        <f>Raw_Data!F9</f>
        <v>10738.67</v>
      </c>
      <c r="G9" s="3">
        <f>Raw_Data!G9</f>
        <v>123947</v>
      </c>
      <c r="H9" s="3">
        <f>Raw_Data!H9</f>
        <v>4068</v>
      </c>
      <c r="I9" s="3">
        <f>Raw_Data!I9</f>
        <v>400</v>
      </c>
      <c r="J9" s="5">
        <f>Raw_Data!J9</f>
        <v>8473.12</v>
      </c>
      <c r="K9" s="6">
        <f t="shared" si="0"/>
        <v>0.0328204797211711</v>
      </c>
      <c r="L9" s="5">
        <f t="shared" si="1"/>
        <v>2.63979105211406</v>
      </c>
      <c r="M9" s="5">
        <f t="shared" si="2"/>
        <v>26.846675</v>
      </c>
      <c r="N9" s="7">
        <f t="shared" si="3"/>
        <v>0.789028808967964</v>
      </c>
      <c r="O9" s="5">
        <f t="shared" si="4"/>
        <v>-2265.55</v>
      </c>
      <c r="P9" s="8">
        <f t="shared" si="5"/>
        <v>-26.7380846724701</v>
      </c>
      <c r="Q9" s="3" t="str">
        <f t="shared" si="6"/>
        <v>2024-12</v>
      </c>
    </row>
    <row r="10" customHeight="1" spans="1:17">
      <c r="A10" s="3" t="str">
        <f>Raw_Data!A10</f>
        <v>C0198</v>
      </c>
      <c r="B10" s="4">
        <f>Raw_Data!B10</f>
        <v>45638</v>
      </c>
      <c r="C10" s="3" t="str">
        <f>Raw_Data!C10</f>
        <v>LinkedIn</v>
      </c>
      <c r="D10" s="3" t="str">
        <f>Raw_Data!D10</f>
        <v>West</v>
      </c>
      <c r="E10" s="5">
        <f>Raw_Data!E10</f>
        <v>7486.12</v>
      </c>
      <c r="F10" s="5">
        <f>Raw_Data!F10</f>
        <v>6397.37</v>
      </c>
      <c r="G10" s="3">
        <f>Raw_Data!G10</f>
        <v>150378</v>
      </c>
      <c r="H10" s="3">
        <f>Raw_Data!H10</f>
        <v>1516</v>
      </c>
      <c r="I10" s="3">
        <f>Raw_Data!I10</f>
        <v>269</v>
      </c>
      <c r="J10" s="5">
        <f>Raw_Data!J10</f>
        <v>8169.53</v>
      </c>
      <c r="K10" s="6">
        <f t="shared" si="0"/>
        <v>0.0100812618867122</v>
      </c>
      <c r="L10" s="5">
        <f t="shared" si="1"/>
        <v>4.21990105540897</v>
      </c>
      <c r="M10" s="5">
        <f t="shared" si="2"/>
        <v>23.7820446096654</v>
      </c>
      <c r="N10" s="7">
        <f t="shared" si="3"/>
        <v>1.27701383537297</v>
      </c>
      <c r="O10" s="5">
        <f t="shared" si="4"/>
        <v>1772.16</v>
      </c>
      <c r="P10" s="8">
        <f t="shared" si="5"/>
        <v>21.6923127768672</v>
      </c>
      <c r="Q10" s="3" t="str">
        <f t="shared" si="6"/>
        <v>2024-12</v>
      </c>
    </row>
    <row r="11" customHeight="1" spans="1:17">
      <c r="A11" s="3" t="str">
        <f>Raw_Data!A11</f>
        <v>C0087</v>
      </c>
      <c r="B11" s="4">
        <f>Raw_Data!B11</f>
        <v>45639</v>
      </c>
      <c r="C11" s="3" t="str">
        <f>Raw_Data!C11</f>
        <v>Twitter</v>
      </c>
      <c r="D11" s="3" t="str">
        <f>Raw_Data!D11</f>
        <v>North</v>
      </c>
      <c r="E11" s="5">
        <f>Raw_Data!E11</f>
        <v>6990.43</v>
      </c>
      <c r="F11" s="5">
        <f>Raw_Data!F11</f>
        <v>5796.14</v>
      </c>
      <c r="G11" s="3">
        <f>Raw_Data!G11</f>
        <v>97675</v>
      </c>
      <c r="H11" s="3">
        <f>Raw_Data!H11</f>
        <v>4253</v>
      </c>
      <c r="I11" s="3">
        <f>Raw_Data!I11</f>
        <v>420</v>
      </c>
      <c r="J11" s="5">
        <f>Raw_Data!J11</f>
        <v>16149.09</v>
      </c>
      <c r="K11" s="6">
        <f t="shared" si="0"/>
        <v>0.0435423598669056</v>
      </c>
      <c r="L11" s="5">
        <f t="shared" si="1"/>
        <v>1.36283564542676</v>
      </c>
      <c r="M11" s="5">
        <f t="shared" si="2"/>
        <v>13.8003333333333</v>
      </c>
      <c r="N11" s="7">
        <f t="shared" si="3"/>
        <v>2.78618011297174</v>
      </c>
      <c r="O11" s="5">
        <f t="shared" si="4"/>
        <v>10352.95</v>
      </c>
      <c r="P11" s="8">
        <f t="shared" si="5"/>
        <v>64.1085658696558</v>
      </c>
      <c r="Q11" s="3" t="str">
        <f t="shared" si="6"/>
        <v>2024-12</v>
      </c>
    </row>
    <row r="12" customHeight="1" spans="1:17">
      <c r="A12" s="3" t="str">
        <f>Raw_Data!A12</f>
        <v>C0460</v>
      </c>
      <c r="B12" s="4">
        <f>Raw_Data!B12</f>
        <v>45639</v>
      </c>
      <c r="C12" s="3" t="str">
        <f>Raw_Data!C12</f>
        <v>Instagram</v>
      </c>
      <c r="D12" s="3" t="str">
        <f>Raw_Data!D12</f>
        <v>South</v>
      </c>
      <c r="E12" s="5">
        <f>Raw_Data!E12</f>
        <v>6603.72</v>
      </c>
      <c r="F12" s="5">
        <f>Raw_Data!F12</f>
        <v>5994.66</v>
      </c>
      <c r="G12" s="3">
        <f>Raw_Data!G12</f>
        <v>55887</v>
      </c>
      <c r="H12" s="3">
        <f>Raw_Data!H12</f>
        <v>1060</v>
      </c>
      <c r="I12" s="3">
        <f>Raw_Data!I12</f>
        <v>202</v>
      </c>
      <c r="J12" s="5">
        <f>Raw_Data!J12</f>
        <v>7633.28</v>
      </c>
      <c r="K12" s="6">
        <f t="shared" si="0"/>
        <v>0.0189668438098306</v>
      </c>
      <c r="L12" s="5">
        <f t="shared" si="1"/>
        <v>5.65533962264151</v>
      </c>
      <c r="M12" s="5">
        <f t="shared" si="2"/>
        <v>29.6765346534653</v>
      </c>
      <c r="N12" s="7">
        <f t="shared" si="3"/>
        <v>1.27334661181785</v>
      </c>
      <c r="O12" s="5">
        <f t="shared" si="4"/>
        <v>1638.62</v>
      </c>
      <c r="P12" s="8">
        <f t="shared" si="5"/>
        <v>21.4667875408736</v>
      </c>
      <c r="Q12" s="3" t="str">
        <f t="shared" si="6"/>
        <v>2024-12</v>
      </c>
    </row>
    <row r="13" customHeight="1" spans="1:17">
      <c r="A13" s="3" t="str">
        <f>Raw_Data!A13</f>
        <v>C0114</v>
      </c>
      <c r="B13" s="4">
        <f>Raw_Data!B13</f>
        <v>45639</v>
      </c>
      <c r="C13" s="3" t="str">
        <f>Raw_Data!C13</f>
        <v>LinkedIn</v>
      </c>
      <c r="D13" s="3" t="str">
        <f>Raw_Data!D13</f>
        <v>West</v>
      </c>
      <c r="E13" s="5">
        <f>Raw_Data!E13</f>
        <v>3684.84</v>
      </c>
      <c r="F13" s="5">
        <f>Raw_Data!F13</f>
        <v>3491.33</v>
      </c>
      <c r="G13" s="3">
        <f>Raw_Data!G13</f>
        <v>99153</v>
      </c>
      <c r="H13" s="3">
        <f>Raw_Data!H13</f>
        <v>2036</v>
      </c>
      <c r="I13" s="3">
        <f>Raw_Data!I13</f>
        <v>382</v>
      </c>
      <c r="J13" s="5">
        <f>Raw_Data!J13</f>
        <v>13065.99</v>
      </c>
      <c r="K13" s="6">
        <f t="shared" si="0"/>
        <v>0.0205339223220679</v>
      </c>
      <c r="L13" s="5">
        <f t="shared" si="1"/>
        <v>1.71479862475442</v>
      </c>
      <c r="M13" s="5">
        <f t="shared" si="2"/>
        <v>9.13960732984293</v>
      </c>
      <c r="N13" s="7">
        <f t="shared" si="3"/>
        <v>3.74241048540241</v>
      </c>
      <c r="O13" s="5">
        <f t="shared" si="4"/>
        <v>9574.66</v>
      </c>
      <c r="P13" s="8">
        <f t="shared" si="5"/>
        <v>73.2792540021843</v>
      </c>
      <c r="Q13" s="3" t="str">
        <f t="shared" si="6"/>
        <v>2024-12</v>
      </c>
    </row>
    <row r="14" customHeight="1" spans="1:17">
      <c r="A14" s="3" t="str">
        <f>Raw_Data!A14</f>
        <v>C0113</v>
      </c>
      <c r="B14" s="4">
        <f>Raw_Data!B14</f>
        <v>45639</v>
      </c>
      <c r="C14" s="3" t="str">
        <f>Raw_Data!C14</f>
        <v>Google Ads</v>
      </c>
      <c r="D14" s="3" t="str">
        <f>Raw_Data!D14</f>
        <v>East</v>
      </c>
      <c r="E14" s="5">
        <f>Raw_Data!E14</f>
        <v>8988.22</v>
      </c>
      <c r="F14" s="5">
        <f>Raw_Data!F14</f>
        <v>9087.97</v>
      </c>
      <c r="G14" s="3">
        <f>Raw_Data!G14</f>
        <v>127750</v>
      </c>
      <c r="H14" s="3">
        <f>Raw_Data!H14</f>
        <v>5551</v>
      </c>
      <c r="I14" s="3">
        <f>Raw_Data!I14</f>
        <v>393</v>
      </c>
      <c r="J14" s="5">
        <f>Raw_Data!J14</f>
        <v>13450.51</v>
      </c>
      <c r="K14" s="6">
        <f t="shared" si="0"/>
        <v>0.0434520547945206</v>
      </c>
      <c r="L14" s="5">
        <f t="shared" si="1"/>
        <v>1.63717708520987</v>
      </c>
      <c r="M14" s="5">
        <f t="shared" si="2"/>
        <v>23.1246055979644</v>
      </c>
      <c r="N14" s="7">
        <f t="shared" si="3"/>
        <v>1.48003459518462</v>
      </c>
      <c r="O14" s="5">
        <f t="shared" si="4"/>
        <v>4362.54</v>
      </c>
      <c r="P14" s="8">
        <f t="shared" si="5"/>
        <v>32.4340117958353</v>
      </c>
      <c r="Q14" s="3" t="str">
        <f t="shared" si="6"/>
        <v>2024-12</v>
      </c>
    </row>
    <row r="15" customHeight="1" spans="1:17">
      <c r="A15" s="3" t="str">
        <f>Raw_Data!A15</f>
        <v>C0133</v>
      </c>
      <c r="B15" s="4">
        <f>Raw_Data!B15</f>
        <v>45640</v>
      </c>
      <c r="C15" s="3" t="str">
        <f>Raw_Data!C15</f>
        <v>Facebook</v>
      </c>
      <c r="D15" s="3" t="str">
        <f>Raw_Data!D15</f>
        <v>West</v>
      </c>
      <c r="E15" s="5">
        <f>Raw_Data!E15</f>
        <v>9008.89</v>
      </c>
      <c r="F15" s="5">
        <f>Raw_Data!F15</f>
        <v>8366.54</v>
      </c>
      <c r="G15" s="3">
        <f>Raw_Data!G15</f>
        <v>144975</v>
      </c>
      <c r="H15" s="3">
        <f>Raw_Data!H15</f>
        <v>7116</v>
      </c>
      <c r="I15" s="3">
        <f>Raw_Data!I15</f>
        <v>119</v>
      </c>
      <c r="J15" s="5">
        <f>Raw_Data!J15</f>
        <v>5060.61</v>
      </c>
      <c r="K15" s="6">
        <f t="shared" si="0"/>
        <v>0.0490843248836006</v>
      </c>
      <c r="L15" s="5">
        <f t="shared" si="1"/>
        <v>1.17573636874649</v>
      </c>
      <c r="M15" s="5">
        <f t="shared" si="2"/>
        <v>70.3070588235294</v>
      </c>
      <c r="N15" s="7">
        <f t="shared" si="3"/>
        <v>0.604862942148128</v>
      </c>
      <c r="O15" s="5">
        <f t="shared" si="4"/>
        <v>-3305.93</v>
      </c>
      <c r="P15" s="8">
        <f t="shared" si="5"/>
        <v>-65.3267096259147</v>
      </c>
      <c r="Q15" s="3" t="str">
        <f t="shared" si="6"/>
        <v>2024-12</v>
      </c>
    </row>
    <row r="16" customHeight="1" spans="1:17">
      <c r="A16" s="3" t="str">
        <f>Raw_Data!A16</f>
        <v>C0111</v>
      </c>
      <c r="B16" s="4">
        <f>Raw_Data!B16</f>
        <v>45640</v>
      </c>
      <c r="C16" s="3" t="str">
        <f>Raw_Data!C16</f>
        <v>LinkedIn</v>
      </c>
      <c r="D16" s="3" t="str">
        <f>Raw_Data!D16</f>
        <v>North</v>
      </c>
      <c r="E16" s="5">
        <f>Raw_Data!E16</f>
        <v>5491.81</v>
      </c>
      <c r="F16" s="5">
        <f>Raw_Data!F16</f>
        <v>5642.03</v>
      </c>
      <c r="G16" s="3">
        <f>Raw_Data!G16</f>
        <v>147883</v>
      </c>
      <c r="H16" s="3">
        <f>Raw_Data!H16</f>
        <v>1463</v>
      </c>
      <c r="I16" s="3">
        <f>Raw_Data!I16</f>
        <v>163</v>
      </c>
      <c r="J16" s="5">
        <f>Raw_Data!J16</f>
        <v>3330.38</v>
      </c>
      <c r="K16" s="6">
        <f t="shared" si="0"/>
        <v>0.00989295591785398</v>
      </c>
      <c r="L16" s="5">
        <f t="shared" si="1"/>
        <v>3.85647983595352</v>
      </c>
      <c r="M16" s="5">
        <f t="shared" si="2"/>
        <v>34.6136809815951</v>
      </c>
      <c r="N16" s="7">
        <f t="shared" si="3"/>
        <v>0.590280448703747</v>
      </c>
      <c r="O16" s="5">
        <f t="shared" si="4"/>
        <v>-2311.65</v>
      </c>
      <c r="P16" s="8">
        <f t="shared" si="5"/>
        <v>-69.4109981443559</v>
      </c>
      <c r="Q16" s="3" t="str">
        <f t="shared" si="6"/>
        <v>2024-12</v>
      </c>
    </row>
    <row r="17" customHeight="1" spans="1:17">
      <c r="A17" s="3" t="str">
        <f>Raw_Data!A17</f>
        <v>C0250</v>
      </c>
      <c r="B17" s="4">
        <f>Raw_Data!B17</f>
        <v>45640</v>
      </c>
      <c r="C17" s="3" t="str">
        <f>Raw_Data!C17</f>
        <v>Google Ads</v>
      </c>
      <c r="D17" s="3" t="str">
        <f>Raw_Data!D17</f>
        <v>South</v>
      </c>
      <c r="E17" s="5">
        <f>Raw_Data!E17</f>
        <v>6804.87</v>
      </c>
      <c r="F17" s="5">
        <f>Raw_Data!F17</f>
        <v>7294.42</v>
      </c>
      <c r="G17" s="3">
        <f>Raw_Data!G17</f>
        <v>142706</v>
      </c>
      <c r="H17" s="3">
        <f>Raw_Data!H17</f>
        <v>4101</v>
      </c>
      <c r="I17" s="3">
        <f>Raw_Data!I17</f>
        <v>124</v>
      </c>
      <c r="J17" s="5">
        <f>Raw_Data!J17</f>
        <v>4802.17</v>
      </c>
      <c r="K17" s="6">
        <f t="shared" si="0"/>
        <v>0.0287374041736157</v>
      </c>
      <c r="L17" s="5">
        <f t="shared" si="1"/>
        <v>1.7786930017069</v>
      </c>
      <c r="M17" s="5">
        <f t="shared" si="2"/>
        <v>58.8259677419355</v>
      </c>
      <c r="N17" s="7">
        <f t="shared" si="3"/>
        <v>0.658334727092764</v>
      </c>
      <c r="O17" s="5">
        <f t="shared" si="4"/>
        <v>-2492.25</v>
      </c>
      <c r="P17" s="8">
        <f t="shared" si="5"/>
        <v>-51.8984125926404</v>
      </c>
      <c r="Q17" s="3" t="str">
        <f t="shared" si="6"/>
        <v>2024-12</v>
      </c>
    </row>
    <row r="18" customHeight="1" spans="1:17">
      <c r="A18" s="3" t="str">
        <f>Raw_Data!A18</f>
        <v>C0328</v>
      </c>
      <c r="B18" s="4">
        <f>Raw_Data!B18</f>
        <v>45640</v>
      </c>
      <c r="C18" s="3" t="str">
        <f>Raw_Data!C18</f>
        <v>Facebook</v>
      </c>
      <c r="D18" s="3" t="str">
        <f>Raw_Data!D18</f>
        <v>South</v>
      </c>
      <c r="E18" s="5">
        <f>Raw_Data!E18</f>
        <v>8396.39</v>
      </c>
      <c r="F18" s="5">
        <f>Raw_Data!F18</f>
        <v>6985.62</v>
      </c>
      <c r="G18" s="3">
        <f>Raw_Data!G18</f>
        <v>110667</v>
      </c>
      <c r="H18" s="3">
        <f>Raw_Data!H18</f>
        <v>2560</v>
      </c>
      <c r="I18" s="3">
        <f>Raw_Data!I18</f>
        <v>409</v>
      </c>
      <c r="J18" s="5">
        <f>Raw_Data!J18</f>
        <v>9101.94</v>
      </c>
      <c r="K18" s="6">
        <f t="shared" si="0"/>
        <v>0.0231324604443963</v>
      </c>
      <c r="L18" s="5">
        <f t="shared" si="1"/>
        <v>2.7287578125</v>
      </c>
      <c r="M18" s="5">
        <f t="shared" si="2"/>
        <v>17.0797555012225</v>
      </c>
      <c r="N18" s="7">
        <f t="shared" si="3"/>
        <v>1.30295378219829</v>
      </c>
      <c r="O18" s="5">
        <f t="shared" si="4"/>
        <v>2116.32</v>
      </c>
      <c r="P18" s="8">
        <f t="shared" si="5"/>
        <v>23.2513068642509</v>
      </c>
      <c r="Q18" s="3" t="str">
        <f t="shared" si="6"/>
        <v>2024-12</v>
      </c>
    </row>
    <row r="19" customHeight="1" spans="1:17">
      <c r="A19" s="3" t="str">
        <f>Raw_Data!A19</f>
        <v>C0275</v>
      </c>
      <c r="B19" s="4">
        <f>Raw_Data!B19</f>
        <v>45641</v>
      </c>
      <c r="C19" s="3" t="str">
        <f>Raw_Data!C19</f>
        <v>Facebook</v>
      </c>
      <c r="D19" s="3" t="str">
        <f>Raw_Data!D19</f>
        <v>West</v>
      </c>
      <c r="E19" s="5">
        <f>Raw_Data!E19</f>
        <v>5334.49</v>
      </c>
      <c r="F19" s="5">
        <f>Raw_Data!F19</f>
        <v>4904.8</v>
      </c>
      <c r="G19" s="3">
        <f>Raw_Data!G19</f>
        <v>191774</v>
      </c>
      <c r="H19" s="3">
        <f>Raw_Data!H19</f>
        <v>6884</v>
      </c>
      <c r="I19" s="3">
        <f>Raw_Data!I19</f>
        <v>582</v>
      </c>
      <c r="J19" s="5">
        <f>Raw_Data!J19</f>
        <v>21022.93</v>
      </c>
      <c r="K19" s="6">
        <f t="shared" si="0"/>
        <v>0.0358964197440738</v>
      </c>
      <c r="L19" s="5">
        <f t="shared" si="1"/>
        <v>0.712492736780941</v>
      </c>
      <c r="M19" s="5">
        <f t="shared" si="2"/>
        <v>8.42749140893471</v>
      </c>
      <c r="N19" s="7">
        <f t="shared" si="3"/>
        <v>4.28619515576578</v>
      </c>
      <c r="O19" s="5">
        <f t="shared" si="4"/>
        <v>16118.13</v>
      </c>
      <c r="P19" s="8">
        <f t="shared" si="5"/>
        <v>76.6692844432246</v>
      </c>
      <c r="Q19" s="3" t="str">
        <f t="shared" si="6"/>
        <v>2024-12</v>
      </c>
    </row>
    <row r="20" customHeight="1" spans="1:17">
      <c r="A20" s="3" t="str">
        <f>Raw_Data!A20</f>
        <v>C0194</v>
      </c>
      <c r="B20" s="4">
        <f>Raw_Data!B20</f>
        <v>45641</v>
      </c>
      <c r="C20" s="3" t="str">
        <f>Raw_Data!C20</f>
        <v>Instagram</v>
      </c>
      <c r="D20" s="3" t="str">
        <f>Raw_Data!D20</f>
        <v>South</v>
      </c>
      <c r="E20" s="5">
        <f>Raw_Data!E20</f>
        <v>4807.71</v>
      </c>
      <c r="F20" s="5">
        <f>Raw_Data!F20</f>
        <v>4508.39</v>
      </c>
      <c r="G20" s="3">
        <f>Raw_Data!G20</f>
        <v>156215</v>
      </c>
      <c r="H20" s="3">
        <f>Raw_Data!H20</f>
        <v>6524</v>
      </c>
      <c r="I20" s="3">
        <f>Raw_Data!I20</f>
        <v>641</v>
      </c>
      <c r="J20" s="5">
        <f>Raw_Data!J20</f>
        <v>31666.03</v>
      </c>
      <c r="K20" s="6">
        <f t="shared" si="0"/>
        <v>0.041762954901898</v>
      </c>
      <c r="L20" s="5">
        <f t="shared" si="1"/>
        <v>0.691046903740037</v>
      </c>
      <c r="M20" s="5">
        <f t="shared" si="2"/>
        <v>7.03336973478939</v>
      </c>
      <c r="N20" s="7">
        <f t="shared" si="3"/>
        <v>7.02380007053516</v>
      </c>
      <c r="O20" s="5">
        <f t="shared" si="4"/>
        <v>27157.64</v>
      </c>
      <c r="P20" s="8">
        <f t="shared" si="5"/>
        <v>85.7626927025586</v>
      </c>
      <c r="Q20" s="3" t="str">
        <f t="shared" si="6"/>
        <v>2024-12</v>
      </c>
    </row>
    <row r="21" customHeight="1" spans="1:17">
      <c r="A21" s="3" t="str">
        <f>Raw_Data!A21</f>
        <v>C0043</v>
      </c>
      <c r="B21" s="4">
        <f>Raw_Data!B21</f>
        <v>45642</v>
      </c>
      <c r="C21" s="3" t="str">
        <f>Raw_Data!C21</f>
        <v>Twitter</v>
      </c>
      <c r="D21" s="3" t="str">
        <f>Raw_Data!D21</f>
        <v>East</v>
      </c>
      <c r="E21" s="5">
        <f>Raw_Data!E21</f>
        <v>8726.1</v>
      </c>
      <c r="F21" s="5">
        <f>Raw_Data!F21</f>
        <v>9234.13</v>
      </c>
      <c r="G21" s="3">
        <f>Raw_Data!G21</f>
        <v>169629</v>
      </c>
      <c r="H21" s="3">
        <f>Raw_Data!H21</f>
        <v>5933</v>
      </c>
      <c r="I21" s="3">
        <f>Raw_Data!I21</f>
        <v>149</v>
      </c>
      <c r="J21" s="5">
        <f>Raw_Data!J21</f>
        <v>3011.08</v>
      </c>
      <c r="K21" s="6">
        <f t="shared" si="0"/>
        <v>0.0349763306981707</v>
      </c>
      <c r="L21" s="5">
        <f t="shared" si="1"/>
        <v>1.55640148322939</v>
      </c>
      <c r="M21" s="5">
        <f t="shared" si="2"/>
        <v>61.9740268456376</v>
      </c>
      <c r="N21" s="7">
        <f t="shared" si="3"/>
        <v>0.326081612452933</v>
      </c>
      <c r="O21" s="5">
        <f t="shared" si="4"/>
        <v>-6223.05</v>
      </c>
      <c r="P21" s="8">
        <f t="shared" si="5"/>
        <v>-206.671692548853</v>
      </c>
      <c r="Q21" s="3" t="str">
        <f t="shared" si="6"/>
        <v>2024-12</v>
      </c>
    </row>
    <row r="22" customHeight="1" spans="1:17">
      <c r="A22" s="3" t="str">
        <f>Raw_Data!A22</f>
        <v>C0289</v>
      </c>
      <c r="B22" s="4">
        <f>Raw_Data!B22</f>
        <v>45642</v>
      </c>
      <c r="C22" s="3" t="str">
        <f>Raw_Data!C22</f>
        <v>Google Ads</v>
      </c>
      <c r="D22" s="3" t="str">
        <f>Raw_Data!D22</f>
        <v>North</v>
      </c>
      <c r="E22" s="5">
        <f>Raw_Data!E22</f>
        <v>5805.34</v>
      </c>
      <c r="F22" s="5">
        <f>Raw_Data!F22</f>
        <v>5618.94</v>
      </c>
      <c r="G22" s="3">
        <f>Raw_Data!G22</f>
        <v>102654</v>
      </c>
      <c r="H22" s="3">
        <f>Raw_Data!H22</f>
        <v>4465</v>
      </c>
      <c r="I22" s="3">
        <f>Raw_Data!I22</f>
        <v>500</v>
      </c>
      <c r="J22" s="5">
        <f>Raw_Data!J22</f>
        <v>12328.6</v>
      </c>
      <c r="K22" s="6">
        <f t="shared" si="0"/>
        <v>0.0434956260837376</v>
      </c>
      <c r="L22" s="5">
        <f t="shared" si="1"/>
        <v>1.25844120940649</v>
      </c>
      <c r="M22" s="5">
        <f t="shared" si="2"/>
        <v>11.23788</v>
      </c>
      <c r="N22" s="7">
        <f t="shared" si="3"/>
        <v>2.19411490423461</v>
      </c>
      <c r="O22" s="5">
        <f t="shared" si="4"/>
        <v>6709.66</v>
      </c>
      <c r="P22" s="8">
        <f t="shared" si="5"/>
        <v>54.423535519037</v>
      </c>
      <c r="Q22" s="3" t="str">
        <f t="shared" si="6"/>
        <v>2024-12</v>
      </c>
    </row>
    <row r="23" customHeight="1" spans="1:17">
      <c r="A23" s="3" t="str">
        <f>Raw_Data!A23</f>
        <v>C0092</v>
      </c>
      <c r="B23" s="4">
        <f>Raw_Data!B23</f>
        <v>45642</v>
      </c>
      <c r="C23" s="3" t="str">
        <f>Raw_Data!C23</f>
        <v>Google Ads</v>
      </c>
      <c r="D23" s="3" t="str">
        <f>Raw_Data!D23</f>
        <v>South</v>
      </c>
      <c r="E23" s="5">
        <f>Raw_Data!E23</f>
        <v>9392.68</v>
      </c>
      <c r="F23" s="5">
        <f>Raw_Data!F23</f>
        <v>8955.01</v>
      </c>
      <c r="G23" s="3">
        <f>Raw_Data!G23</f>
        <v>83386</v>
      </c>
      <c r="H23" s="3">
        <f>Raw_Data!H23</f>
        <v>1255</v>
      </c>
      <c r="I23" s="3">
        <f>Raw_Data!I23</f>
        <v>90</v>
      </c>
      <c r="J23" s="5">
        <f>Raw_Data!J23</f>
        <v>3154.09</v>
      </c>
      <c r="K23" s="6">
        <f t="shared" si="0"/>
        <v>0.0150504880915262</v>
      </c>
      <c r="L23" s="5">
        <f t="shared" si="1"/>
        <v>7.13546613545817</v>
      </c>
      <c r="M23" s="5">
        <f t="shared" si="2"/>
        <v>99.5001111111111</v>
      </c>
      <c r="N23" s="7">
        <f t="shared" si="3"/>
        <v>0.352215128737991</v>
      </c>
      <c r="O23" s="5">
        <f t="shared" si="4"/>
        <v>-5800.92</v>
      </c>
      <c r="P23" s="8">
        <f t="shared" si="5"/>
        <v>-183.917389801813</v>
      </c>
      <c r="Q23" s="3" t="str">
        <f t="shared" si="6"/>
        <v>2024-12</v>
      </c>
    </row>
    <row r="24" customHeight="1" spans="1:17">
      <c r="A24" s="3" t="str">
        <f>Raw_Data!A24</f>
        <v>C0354</v>
      </c>
      <c r="B24" s="4">
        <f>Raw_Data!B24</f>
        <v>45642</v>
      </c>
      <c r="C24" s="3" t="str">
        <f>Raw_Data!C24</f>
        <v>Google Ads</v>
      </c>
      <c r="D24" s="3" t="str">
        <f>Raw_Data!D24</f>
        <v>West</v>
      </c>
      <c r="E24" s="5">
        <f>Raw_Data!E24</f>
        <v>7392.54</v>
      </c>
      <c r="F24" s="5">
        <f>Raw_Data!F24</f>
        <v>7851.64</v>
      </c>
      <c r="G24" s="3">
        <f>Raw_Data!G24</f>
        <v>61724</v>
      </c>
      <c r="H24" s="3">
        <f>Raw_Data!H24</f>
        <v>1074</v>
      </c>
      <c r="I24" s="3">
        <f>Raw_Data!I24</f>
        <v>134</v>
      </c>
      <c r="J24" s="5">
        <f>Raw_Data!J24</f>
        <v>6636.02</v>
      </c>
      <c r="K24" s="6">
        <f t="shared" si="0"/>
        <v>0.0174000388827685</v>
      </c>
      <c r="L24" s="5">
        <f t="shared" si="1"/>
        <v>7.31065176908752</v>
      </c>
      <c r="M24" s="5">
        <f t="shared" si="2"/>
        <v>58.594328358209</v>
      </c>
      <c r="N24" s="7">
        <f t="shared" si="3"/>
        <v>0.845176294379263</v>
      </c>
      <c r="O24" s="5">
        <f t="shared" si="4"/>
        <v>-1215.62</v>
      </c>
      <c r="P24" s="8">
        <f t="shared" si="5"/>
        <v>-18.3185101913496</v>
      </c>
      <c r="Q24" s="3" t="str">
        <f t="shared" si="6"/>
        <v>2024-12</v>
      </c>
    </row>
    <row r="25" customHeight="1" spans="1:17">
      <c r="A25" s="3" t="str">
        <f>Raw_Data!A25</f>
        <v>C0085</v>
      </c>
      <c r="B25" s="4">
        <f>Raw_Data!B25</f>
        <v>45642</v>
      </c>
      <c r="C25" s="3" t="str">
        <f>Raw_Data!C25</f>
        <v>Facebook</v>
      </c>
      <c r="D25" s="3" t="str">
        <f>Raw_Data!D25</f>
        <v>East</v>
      </c>
      <c r="E25" s="5">
        <f>Raw_Data!E25</f>
        <v>8957.96</v>
      </c>
      <c r="F25" s="5">
        <f>Raw_Data!F25</f>
        <v>8018.06</v>
      </c>
      <c r="G25" s="3">
        <f>Raw_Data!G25</f>
        <v>88706</v>
      </c>
      <c r="H25" s="3">
        <f>Raw_Data!H25</f>
        <v>1251</v>
      </c>
      <c r="I25" s="3">
        <f>Raw_Data!I25</f>
        <v>146</v>
      </c>
      <c r="J25" s="5">
        <f>Raw_Data!J25</f>
        <v>3662.38</v>
      </c>
      <c r="K25" s="6">
        <f t="shared" si="0"/>
        <v>0.0141027664419543</v>
      </c>
      <c r="L25" s="5">
        <f t="shared" si="1"/>
        <v>6.40932054356515</v>
      </c>
      <c r="M25" s="5">
        <f t="shared" si="2"/>
        <v>54.9182191780822</v>
      </c>
      <c r="N25" s="7">
        <f t="shared" si="3"/>
        <v>0.456766349964954</v>
      </c>
      <c r="O25" s="5">
        <f t="shared" si="4"/>
        <v>-4355.68</v>
      </c>
      <c r="P25" s="8">
        <f t="shared" si="5"/>
        <v>-118.930313075104</v>
      </c>
      <c r="Q25" s="3" t="str">
        <f t="shared" si="6"/>
        <v>2024-12</v>
      </c>
    </row>
    <row r="26" customHeight="1" spans="1:17">
      <c r="A26" s="3" t="str">
        <f>Raw_Data!A26</f>
        <v>C0283</v>
      </c>
      <c r="B26" s="4">
        <f>Raw_Data!B26</f>
        <v>45643</v>
      </c>
      <c r="C26" s="3" t="str">
        <f>Raw_Data!C26</f>
        <v>Twitter</v>
      </c>
      <c r="D26" s="3" t="str">
        <f>Raw_Data!D26</f>
        <v>East</v>
      </c>
      <c r="E26" s="5">
        <f>Raw_Data!E26</f>
        <v>3597.45</v>
      </c>
      <c r="F26" s="5">
        <f>Raw_Data!F26</f>
        <v>3953.82</v>
      </c>
      <c r="G26" s="3">
        <f>Raw_Data!G26</f>
        <v>92675</v>
      </c>
      <c r="H26" s="3">
        <f>Raw_Data!H26</f>
        <v>1207</v>
      </c>
      <c r="I26" s="3">
        <f>Raw_Data!I26</f>
        <v>133</v>
      </c>
      <c r="J26" s="5">
        <f>Raw_Data!J26</f>
        <v>4663.76</v>
      </c>
      <c r="K26" s="6">
        <f t="shared" si="0"/>
        <v>0.0130240086323172</v>
      </c>
      <c r="L26" s="5">
        <f t="shared" si="1"/>
        <v>3.27574150787075</v>
      </c>
      <c r="M26" s="5">
        <f t="shared" si="2"/>
        <v>29.727969924812</v>
      </c>
      <c r="N26" s="7">
        <f t="shared" si="3"/>
        <v>1.17955799707625</v>
      </c>
      <c r="O26" s="5">
        <f t="shared" si="4"/>
        <v>709.94</v>
      </c>
      <c r="P26" s="8">
        <f t="shared" si="5"/>
        <v>15.2224814312915</v>
      </c>
      <c r="Q26" s="3" t="str">
        <f t="shared" si="6"/>
        <v>2024-12</v>
      </c>
    </row>
    <row r="27" customHeight="1" spans="1:17">
      <c r="A27" s="3" t="str">
        <f>Raw_Data!A27</f>
        <v>C0189</v>
      </c>
      <c r="B27" s="4">
        <f>Raw_Data!B27</f>
        <v>45643</v>
      </c>
      <c r="C27" s="3" t="str">
        <f>Raw_Data!C27</f>
        <v>Google Ads</v>
      </c>
      <c r="D27" s="3" t="str">
        <f>Raw_Data!D27</f>
        <v>West</v>
      </c>
      <c r="E27" s="5">
        <f>Raw_Data!E27</f>
        <v>5454.11</v>
      </c>
      <c r="F27" s="5">
        <f>Raw_Data!F27</f>
        <v>5328.53</v>
      </c>
      <c r="G27" s="3">
        <f>Raw_Data!G27</f>
        <v>167161</v>
      </c>
      <c r="H27" s="3">
        <f>Raw_Data!H27</f>
        <v>1156</v>
      </c>
      <c r="I27" s="3">
        <f>Raw_Data!I27</f>
        <v>85</v>
      </c>
      <c r="J27" s="5">
        <f>Raw_Data!J27</f>
        <v>2700.22</v>
      </c>
      <c r="K27" s="6">
        <f t="shared" si="0"/>
        <v>0.00691548866063256</v>
      </c>
      <c r="L27" s="5">
        <f t="shared" si="1"/>
        <v>4.60945501730104</v>
      </c>
      <c r="M27" s="5">
        <f t="shared" si="2"/>
        <v>62.6885882352941</v>
      </c>
      <c r="N27" s="7">
        <f t="shared" si="3"/>
        <v>0.506747639592908</v>
      </c>
      <c r="O27" s="5">
        <f t="shared" si="4"/>
        <v>-2628.31</v>
      </c>
      <c r="P27" s="8">
        <f t="shared" si="5"/>
        <v>-97.3368836613313</v>
      </c>
      <c r="Q27" s="3" t="str">
        <f t="shared" si="6"/>
        <v>2024-12</v>
      </c>
    </row>
    <row r="28" customHeight="1" spans="1:17">
      <c r="A28" s="3" t="str">
        <f>Raw_Data!A28</f>
        <v>C0226</v>
      </c>
      <c r="B28" s="4">
        <f>Raw_Data!B28</f>
        <v>45643</v>
      </c>
      <c r="C28" s="3" t="str">
        <f>Raw_Data!C28</f>
        <v>Twitter</v>
      </c>
      <c r="D28" s="3" t="str">
        <f>Raw_Data!D28</f>
        <v>West</v>
      </c>
      <c r="E28" s="5">
        <f>Raw_Data!E28</f>
        <v>9876.65</v>
      </c>
      <c r="F28" s="5">
        <f>Raw_Data!F28</f>
        <v>8233.29</v>
      </c>
      <c r="G28" s="3">
        <f>Raw_Data!G28</f>
        <v>99291</v>
      </c>
      <c r="H28" s="3">
        <f>Raw_Data!H28</f>
        <v>1323</v>
      </c>
      <c r="I28" s="3">
        <f>Raw_Data!I28</f>
        <v>252</v>
      </c>
      <c r="J28" s="5">
        <f>Raw_Data!J28</f>
        <v>8047.79</v>
      </c>
      <c r="K28" s="6">
        <f t="shared" si="0"/>
        <v>0.0133244704958153</v>
      </c>
      <c r="L28" s="5">
        <f t="shared" si="1"/>
        <v>6.22319727891157</v>
      </c>
      <c r="M28" s="5">
        <f t="shared" si="2"/>
        <v>32.6717857142857</v>
      </c>
      <c r="N28" s="7">
        <f t="shared" si="3"/>
        <v>0.977469517046041</v>
      </c>
      <c r="O28" s="5">
        <f t="shared" si="4"/>
        <v>-185.500000000001</v>
      </c>
      <c r="P28" s="8">
        <f t="shared" si="5"/>
        <v>-2.30498062200928</v>
      </c>
      <c r="Q28" s="3" t="str">
        <f t="shared" si="6"/>
        <v>2024-12</v>
      </c>
    </row>
    <row r="29" customHeight="1" spans="1:17">
      <c r="A29" s="3" t="str">
        <f>Raw_Data!A29</f>
        <v>C0375</v>
      </c>
      <c r="B29" s="4">
        <f>Raw_Data!B29</f>
        <v>45644</v>
      </c>
      <c r="C29" s="3" t="str">
        <f>Raw_Data!C29</f>
        <v>Facebook</v>
      </c>
      <c r="D29" s="3" t="str">
        <f>Raw_Data!D29</f>
        <v>South</v>
      </c>
      <c r="E29" s="5">
        <f>Raw_Data!E29</f>
        <v>9034.89</v>
      </c>
      <c r="F29" s="5">
        <f>Raw_Data!F29</f>
        <v>9422.08</v>
      </c>
      <c r="G29" s="3">
        <f>Raw_Data!G29</f>
        <v>184680</v>
      </c>
      <c r="H29" s="3">
        <f>Raw_Data!H29</f>
        <v>7103</v>
      </c>
      <c r="I29" s="3">
        <f>Raw_Data!I29</f>
        <v>104</v>
      </c>
      <c r="J29" s="5">
        <f>Raw_Data!J29</f>
        <v>4124.35</v>
      </c>
      <c r="K29" s="6">
        <f t="shared" si="0"/>
        <v>0.0384611219406541</v>
      </c>
      <c r="L29" s="5">
        <f t="shared" si="1"/>
        <v>1.32649303111361</v>
      </c>
      <c r="M29" s="5">
        <f t="shared" si="2"/>
        <v>90.5969230769231</v>
      </c>
      <c r="N29" s="7">
        <f t="shared" si="3"/>
        <v>0.437732432753702</v>
      </c>
      <c r="O29" s="5">
        <f t="shared" si="4"/>
        <v>-5297.73</v>
      </c>
      <c r="P29" s="8">
        <f t="shared" si="5"/>
        <v>-128.450058797144</v>
      </c>
      <c r="Q29" s="3" t="str">
        <f t="shared" si="6"/>
        <v>2024-12</v>
      </c>
    </row>
    <row r="30" customHeight="1" spans="1:17">
      <c r="A30" s="3" t="str">
        <f>Raw_Data!A30</f>
        <v>C0272</v>
      </c>
      <c r="B30" s="4">
        <f>Raw_Data!B30</f>
        <v>45644</v>
      </c>
      <c r="C30" s="3" t="str">
        <f>Raw_Data!C30</f>
        <v>Twitter</v>
      </c>
      <c r="D30" s="3" t="str">
        <f>Raw_Data!D30</f>
        <v>West</v>
      </c>
      <c r="E30" s="5">
        <f>Raw_Data!E30</f>
        <v>9445.89</v>
      </c>
      <c r="F30" s="5">
        <f>Raw_Data!F30</f>
        <v>10021.8</v>
      </c>
      <c r="G30" s="3">
        <f>Raw_Data!G30</f>
        <v>128263</v>
      </c>
      <c r="H30" s="3">
        <f>Raw_Data!H30</f>
        <v>5531</v>
      </c>
      <c r="I30" s="3">
        <f>Raw_Data!I30</f>
        <v>947</v>
      </c>
      <c r="J30" s="5">
        <f>Raw_Data!J30</f>
        <v>33680.19</v>
      </c>
      <c r="K30" s="6">
        <f t="shared" si="0"/>
        <v>0.0431223345781714</v>
      </c>
      <c r="L30" s="5">
        <f t="shared" si="1"/>
        <v>1.81193274272283</v>
      </c>
      <c r="M30" s="5">
        <f t="shared" si="2"/>
        <v>10.5826821541711</v>
      </c>
      <c r="N30" s="7">
        <f t="shared" si="3"/>
        <v>3.36069268993594</v>
      </c>
      <c r="O30" s="5">
        <f t="shared" si="4"/>
        <v>23658.39</v>
      </c>
      <c r="P30" s="8">
        <f t="shared" si="5"/>
        <v>70.2442296198448</v>
      </c>
      <c r="Q30" s="3" t="str">
        <f t="shared" si="6"/>
        <v>2024-12</v>
      </c>
    </row>
    <row r="31" customHeight="1" spans="1:17">
      <c r="A31" s="3" t="str">
        <f>Raw_Data!A31</f>
        <v>C0229</v>
      </c>
      <c r="B31" s="4">
        <f>Raw_Data!B31</f>
        <v>45645</v>
      </c>
      <c r="C31" s="3" t="str">
        <f>Raw_Data!C31</f>
        <v>Google Ads</v>
      </c>
      <c r="D31" s="3" t="str">
        <f>Raw_Data!D31</f>
        <v>East</v>
      </c>
      <c r="E31" s="5">
        <f>Raw_Data!E31</f>
        <v>9505.63</v>
      </c>
      <c r="F31" s="5">
        <f>Raw_Data!F31</f>
        <v>9192.22</v>
      </c>
      <c r="G31" s="3">
        <f>Raw_Data!G31</f>
        <v>92367</v>
      </c>
      <c r="H31" s="3">
        <f>Raw_Data!H31</f>
        <v>1602</v>
      </c>
      <c r="I31" s="3">
        <f>Raw_Data!I31</f>
        <v>166</v>
      </c>
      <c r="J31" s="5">
        <f>Raw_Data!J31</f>
        <v>6166.63</v>
      </c>
      <c r="K31" s="6">
        <f t="shared" si="0"/>
        <v>0.0173438565721524</v>
      </c>
      <c r="L31" s="5">
        <f t="shared" si="1"/>
        <v>5.73796504369538</v>
      </c>
      <c r="M31" s="5">
        <f t="shared" si="2"/>
        <v>55.3748192771084</v>
      </c>
      <c r="N31" s="7">
        <f t="shared" si="3"/>
        <v>0.670853178013581</v>
      </c>
      <c r="O31" s="5">
        <f t="shared" si="4"/>
        <v>-3025.59</v>
      </c>
      <c r="P31" s="8">
        <f t="shared" si="5"/>
        <v>-49.0639133529983</v>
      </c>
      <c r="Q31" s="3" t="str">
        <f t="shared" si="6"/>
        <v>2024-12</v>
      </c>
    </row>
    <row r="32" customHeight="1" spans="1:17">
      <c r="A32" s="3" t="str">
        <f>Raw_Data!A32</f>
        <v>C0393</v>
      </c>
      <c r="B32" s="4">
        <f>Raw_Data!B32</f>
        <v>45645</v>
      </c>
      <c r="C32" s="3" t="str">
        <f>Raw_Data!C32</f>
        <v>Facebook</v>
      </c>
      <c r="D32" s="3" t="str">
        <f>Raw_Data!D32</f>
        <v>South</v>
      </c>
      <c r="E32" s="5">
        <f>Raw_Data!E32</f>
        <v>8458.92</v>
      </c>
      <c r="F32" s="5">
        <f>Raw_Data!F32</f>
        <v>7038.62</v>
      </c>
      <c r="G32" s="3">
        <f>Raw_Data!G32</f>
        <v>187533</v>
      </c>
      <c r="H32" s="3">
        <f>Raw_Data!H32</f>
        <v>7387</v>
      </c>
      <c r="I32" s="3">
        <f>Raw_Data!I32</f>
        <v>925</v>
      </c>
      <c r="J32" s="5">
        <f>Raw_Data!J32</f>
        <v>39618.52</v>
      </c>
      <c r="K32" s="6">
        <f t="shared" si="0"/>
        <v>0.0393904006228237</v>
      </c>
      <c r="L32" s="5">
        <f t="shared" si="1"/>
        <v>0.952838770813591</v>
      </c>
      <c r="M32" s="5">
        <f t="shared" si="2"/>
        <v>7.60931891891892</v>
      </c>
      <c r="N32" s="7">
        <f t="shared" si="3"/>
        <v>5.62873404161611</v>
      </c>
      <c r="O32" s="5">
        <f t="shared" si="4"/>
        <v>32579.9</v>
      </c>
      <c r="P32" s="8">
        <f t="shared" si="5"/>
        <v>82.2340158087682</v>
      </c>
      <c r="Q32" s="3" t="str">
        <f t="shared" si="6"/>
        <v>2024-12</v>
      </c>
    </row>
    <row r="33" customHeight="1" spans="1:17">
      <c r="A33" s="3" t="str">
        <f>Raw_Data!A33</f>
        <v>C0361</v>
      </c>
      <c r="B33" s="4">
        <f>Raw_Data!B33</f>
        <v>45645</v>
      </c>
      <c r="C33" s="3" t="str">
        <f>Raw_Data!C33</f>
        <v>Twitter</v>
      </c>
      <c r="D33" s="3" t="str">
        <f>Raw_Data!D33</f>
        <v>West</v>
      </c>
      <c r="E33" s="5">
        <f>Raw_Data!E33</f>
        <v>8504.42</v>
      </c>
      <c r="F33" s="5">
        <f>Raw_Data!F33</f>
        <v>7031.65</v>
      </c>
      <c r="G33" s="3">
        <f>Raw_Data!G33</f>
        <v>176820</v>
      </c>
      <c r="H33" s="3">
        <f>Raw_Data!H33</f>
        <v>1932</v>
      </c>
      <c r="I33" s="3">
        <f>Raw_Data!I33</f>
        <v>64</v>
      </c>
      <c r="J33" s="5">
        <f>Raw_Data!J33</f>
        <v>2081.76</v>
      </c>
      <c r="K33" s="6">
        <f t="shared" si="0"/>
        <v>0.0109263657957245</v>
      </c>
      <c r="L33" s="5">
        <f t="shared" si="1"/>
        <v>3.63957039337474</v>
      </c>
      <c r="M33" s="5">
        <f t="shared" si="2"/>
        <v>109.86953125</v>
      </c>
      <c r="N33" s="7">
        <f t="shared" si="3"/>
        <v>0.29605569105402</v>
      </c>
      <c r="O33" s="5">
        <f t="shared" si="4"/>
        <v>-4949.89</v>
      </c>
      <c r="P33" s="8">
        <f t="shared" si="5"/>
        <v>-237.774287141649</v>
      </c>
      <c r="Q33" s="3" t="str">
        <f t="shared" si="6"/>
        <v>2024-12</v>
      </c>
    </row>
    <row r="34" customHeight="1" spans="1:17">
      <c r="A34" s="3" t="str">
        <f>Raw_Data!A34</f>
        <v>C0089</v>
      </c>
      <c r="B34" s="4">
        <f>Raw_Data!B34</f>
        <v>45645</v>
      </c>
      <c r="C34" s="3" t="str">
        <f>Raw_Data!C34</f>
        <v>Twitter</v>
      </c>
      <c r="D34" s="3" t="str">
        <f>Raw_Data!D34</f>
        <v>South</v>
      </c>
      <c r="E34" s="5">
        <f>Raw_Data!E34</f>
        <v>9141.61</v>
      </c>
      <c r="F34" s="5">
        <f>Raw_Data!F34</f>
        <v>9344.83</v>
      </c>
      <c r="G34" s="3">
        <f>Raw_Data!G34</f>
        <v>154219</v>
      </c>
      <c r="H34" s="3">
        <f>Raw_Data!H34</f>
        <v>2086</v>
      </c>
      <c r="I34" s="3">
        <f>Raw_Data!I34</f>
        <v>249</v>
      </c>
      <c r="J34" s="5">
        <f>Raw_Data!J34</f>
        <v>10186.71</v>
      </c>
      <c r="K34" s="6">
        <f t="shared" si="0"/>
        <v>0.01352621920775</v>
      </c>
      <c r="L34" s="5">
        <f t="shared" si="1"/>
        <v>4.47978427612656</v>
      </c>
      <c r="M34" s="5">
        <f t="shared" si="2"/>
        <v>37.529437751004</v>
      </c>
      <c r="N34" s="7">
        <f t="shared" si="3"/>
        <v>1.0900904564342</v>
      </c>
      <c r="O34" s="5">
        <f t="shared" si="4"/>
        <v>841.879999999999</v>
      </c>
      <c r="P34" s="8">
        <f t="shared" si="5"/>
        <v>8.26449363926134</v>
      </c>
      <c r="Q34" s="3" t="str">
        <f t="shared" si="6"/>
        <v>2024-12</v>
      </c>
    </row>
    <row r="35" customHeight="1" spans="1:17">
      <c r="A35" s="3" t="str">
        <f>Raw_Data!A35</f>
        <v>C0061</v>
      </c>
      <c r="B35" s="4">
        <f>Raw_Data!B35</f>
        <v>45645</v>
      </c>
      <c r="C35" s="3" t="str">
        <f>Raw_Data!C35</f>
        <v>Facebook</v>
      </c>
      <c r="D35" s="3" t="str">
        <f>Raw_Data!D35</f>
        <v>East</v>
      </c>
      <c r="E35" s="5">
        <f>Raw_Data!E35</f>
        <v>5387.46</v>
      </c>
      <c r="F35" s="5">
        <f>Raw_Data!F35</f>
        <v>4493.37</v>
      </c>
      <c r="G35" s="3">
        <f>Raw_Data!G35</f>
        <v>145652</v>
      </c>
      <c r="H35" s="3">
        <f>Raw_Data!H35</f>
        <v>3086</v>
      </c>
      <c r="I35" s="3">
        <f>Raw_Data!I35</f>
        <v>536</v>
      </c>
      <c r="J35" s="5">
        <f>Raw_Data!J35</f>
        <v>25589.07</v>
      </c>
      <c r="K35" s="6">
        <f t="shared" si="0"/>
        <v>0.0211874879850603</v>
      </c>
      <c r="L35" s="5">
        <f t="shared" si="1"/>
        <v>1.45604990278678</v>
      </c>
      <c r="M35" s="5">
        <f t="shared" si="2"/>
        <v>8.38315298507463</v>
      </c>
      <c r="N35" s="7">
        <f t="shared" si="3"/>
        <v>5.69485041294173</v>
      </c>
      <c r="O35" s="5">
        <f t="shared" si="4"/>
        <v>21095.7</v>
      </c>
      <c r="P35" s="8">
        <f t="shared" si="5"/>
        <v>82.4402762585745</v>
      </c>
      <c r="Q35" s="3" t="str">
        <f t="shared" si="6"/>
        <v>2024-12</v>
      </c>
    </row>
    <row r="36" customHeight="1" spans="1:17">
      <c r="A36" s="3" t="str">
        <f>Raw_Data!A36</f>
        <v>C0015</v>
      </c>
      <c r="B36" s="4">
        <f>Raw_Data!B36</f>
        <v>45646</v>
      </c>
      <c r="C36" s="3" t="str">
        <f>Raw_Data!C36</f>
        <v>Google Ads</v>
      </c>
      <c r="D36" s="3" t="str">
        <f>Raw_Data!D36</f>
        <v>East</v>
      </c>
      <c r="E36" s="5">
        <f>Raw_Data!E36</f>
        <v>3240.72</v>
      </c>
      <c r="F36" s="5">
        <f>Raw_Data!F36</f>
        <v>3476.63</v>
      </c>
      <c r="G36" s="3">
        <f>Raw_Data!G36</f>
        <v>76429</v>
      </c>
      <c r="H36" s="3">
        <f>Raw_Data!H36</f>
        <v>2090</v>
      </c>
      <c r="I36" s="3">
        <f>Raw_Data!I36</f>
        <v>69</v>
      </c>
      <c r="J36" s="5">
        <f>Raw_Data!J36</f>
        <v>1915.67</v>
      </c>
      <c r="K36" s="6">
        <f t="shared" si="0"/>
        <v>0.0273456410524801</v>
      </c>
      <c r="L36" s="5">
        <f t="shared" si="1"/>
        <v>1.66345933014354</v>
      </c>
      <c r="M36" s="5">
        <f t="shared" si="2"/>
        <v>50.3859420289855</v>
      </c>
      <c r="N36" s="7">
        <f t="shared" si="3"/>
        <v>0.551013481446113</v>
      </c>
      <c r="O36" s="5">
        <f t="shared" si="4"/>
        <v>-1560.96</v>
      </c>
      <c r="P36" s="8">
        <f t="shared" si="5"/>
        <v>-81.4837628610356</v>
      </c>
      <c r="Q36" s="3" t="str">
        <f t="shared" si="6"/>
        <v>2024-12</v>
      </c>
    </row>
    <row r="37" customHeight="1" spans="1:17">
      <c r="A37" s="3" t="str">
        <f>Raw_Data!A37</f>
        <v>C0139</v>
      </c>
      <c r="B37" s="4">
        <f>Raw_Data!B37</f>
        <v>45646</v>
      </c>
      <c r="C37" s="3" t="str">
        <f>Raw_Data!C37</f>
        <v>Google Ads</v>
      </c>
      <c r="D37" s="3" t="str">
        <f>Raw_Data!D37</f>
        <v>West</v>
      </c>
      <c r="E37" s="5">
        <f>Raw_Data!E37</f>
        <v>7422.86</v>
      </c>
      <c r="F37" s="5">
        <f>Raw_Data!F37</f>
        <v>6936.91</v>
      </c>
      <c r="G37" s="3">
        <f>Raw_Data!G37</f>
        <v>174799</v>
      </c>
      <c r="H37" s="3">
        <f>Raw_Data!H37</f>
        <v>5339</v>
      </c>
      <c r="I37" s="3">
        <f>Raw_Data!I37</f>
        <v>543</v>
      </c>
      <c r="J37" s="5">
        <f>Raw_Data!J37</f>
        <v>15636.4</v>
      </c>
      <c r="K37" s="6">
        <f t="shared" si="0"/>
        <v>0.0305436529957265</v>
      </c>
      <c r="L37" s="5">
        <f t="shared" si="1"/>
        <v>1.29929012923768</v>
      </c>
      <c r="M37" s="5">
        <f t="shared" si="2"/>
        <v>12.7751565377532</v>
      </c>
      <c r="N37" s="7">
        <f t="shared" si="3"/>
        <v>2.25408719444248</v>
      </c>
      <c r="O37" s="5">
        <f t="shared" si="4"/>
        <v>8699.49</v>
      </c>
      <c r="P37" s="8">
        <f t="shared" si="5"/>
        <v>55.6361438694329</v>
      </c>
      <c r="Q37" s="3" t="str">
        <f t="shared" si="6"/>
        <v>2024-12</v>
      </c>
    </row>
    <row r="38" customHeight="1" spans="1:17">
      <c r="A38" s="3" t="str">
        <f>Raw_Data!A38</f>
        <v>C0179</v>
      </c>
      <c r="B38" s="4">
        <f>Raw_Data!B38</f>
        <v>45646</v>
      </c>
      <c r="C38" s="3" t="str">
        <f>Raw_Data!C38</f>
        <v>Facebook</v>
      </c>
      <c r="D38" s="3" t="str">
        <f>Raw_Data!D38</f>
        <v>South</v>
      </c>
      <c r="E38" s="5">
        <f>Raw_Data!E38</f>
        <v>8382.91</v>
      </c>
      <c r="F38" s="5">
        <f>Raw_Data!F38</f>
        <v>9082.29</v>
      </c>
      <c r="G38" s="3">
        <f>Raw_Data!G38</f>
        <v>92405</v>
      </c>
      <c r="H38" s="3">
        <f>Raw_Data!H38</f>
        <v>3028</v>
      </c>
      <c r="I38" s="3">
        <f>Raw_Data!I38</f>
        <v>356</v>
      </c>
      <c r="J38" s="5">
        <f>Raw_Data!J38</f>
        <v>16194.23</v>
      </c>
      <c r="K38" s="6">
        <f t="shared" si="0"/>
        <v>0.0327687895676641</v>
      </c>
      <c r="L38" s="5">
        <f t="shared" si="1"/>
        <v>2.99943527080581</v>
      </c>
      <c r="M38" s="5">
        <f t="shared" si="2"/>
        <v>25.5120505617978</v>
      </c>
      <c r="N38" s="7">
        <f t="shared" si="3"/>
        <v>1.78305581521841</v>
      </c>
      <c r="O38" s="5">
        <f t="shared" si="4"/>
        <v>7111.94</v>
      </c>
      <c r="P38" s="8">
        <f t="shared" si="5"/>
        <v>43.9165060641969</v>
      </c>
      <c r="Q38" s="3" t="str">
        <f t="shared" si="6"/>
        <v>2024-12</v>
      </c>
    </row>
    <row r="39" customHeight="1" spans="1:17">
      <c r="A39" s="3" t="str">
        <f>Raw_Data!A39</f>
        <v>C0325</v>
      </c>
      <c r="B39" s="4">
        <f>Raw_Data!B39</f>
        <v>45647</v>
      </c>
      <c r="C39" s="3" t="str">
        <f>Raw_Data!C39</f>
        <v>Facebook</v>
      </c>
      <c r="D39" s="3" t="str">
        <f>Raw_Data!D39</f>
        <v>North</v>
      </c>
      <c r="E39" s="5">
        <f>Raw_Data!E39</f>
        <v>8128</v>
      </c>
      <c r="F39" s="5">
        <f>Raw_Data!F39</f>
        <v>7026.51</v>
      </c>
      <c r="G39" s="3">
        <f>Raw_Data!G39</f>
        <v>156872</v>
      </c>
      <c r="H39" s="3">
        <f>Raw_Data!H39</f>
        <v>6177</v>
      </c>
      <c r="I39" s="3">
        <f>Raw_Data!I39</f>
        <v>381</v>
      </c>
      <c r="J39" s="5">
        <f>Raw_Data!J39</f>
        <v>7976.42</v>
      </c>
      <c r="K39" s="6">
        <f t="shared" si="0"/>
        <v>0.039376051812943</v>
      </c>
      <c r="L39" s="5">
        <f t="shared" si="1"/>
        <v>1.13752792617776</v>
      </c>
      <c r="M39" s="5">
        <f t="shared" si="2"/>
        <v>18.4422834645669</v>
      </c>
      <c r="N39" s="7">
        <f t="shared" si="3"/>
        <v>1.13518944682353</v>
      </c>
      <c r="O39" s="5">
        <f t="shared" si="4"/>
        <v>949.91</v>
      </c>
      <c r="P39" s="8">
        <f t="shared" si="5"/>
        <v>11.9089767088493</v>
      </c>
      <c r="Q39" s="3" t="str">
        <f t="shared" si="6"/>
        <v>2024-12</v>
      </c>
    </row>
    <row r="40" customHeight="1" spans="1:17">
      <c r="A40" s="3" t="str">
        <f>Raw_Data!A40</f>
        <v>C0203</v>
      </c>
      <c r="B40" s="4">
        <f>Raw_Data!B40</f>
        <v>45647</v>
      </c>
      <c r="C40" s="3" t="str">
        <f>Raw_Data!C40</f>
        <v>Google Ads</v>
      </c>
      <c r="D40" s="3" t="str">
        <f>Raw_Data!D40</f>
        <v>East</v>
      </c>
      <c r="E40" s="5">
        <f>Raw_Data!E40</f>
        <v>4444.34</v>
      </c>
      <c r="F40" s="5">
        <f>Raw_Data!F40</f>
        <v>4041.15</v>
      </c>
      <c r="G40" s="3">
        <f>Raw_Data!G40</f>
        <v>154562</v>
      </c>
      <c r="H40" s="3">
        <f>Raw_Data!H40</f>
        <v>4028</v>
      </c>
      <c r="I40" s="3">
        <f>Raw_Data!I40</f>
        <v>250</v>
      </c>
      <c r="J40" s="5">
        <f>Raw_Data!J40</f>
        <v>8775.63</v>
      </c>
      <c r="K40" s="6">
        <f t="shared" si="0"/>
        <v>0.0260607393796664</v>
      </c>
      <c r="L40" s="5">
        <f t="shared" si="1"/>
        <v>1.00326464746773</v>
      </c>
      <c r="M40" s="5">
        <f t="shared" si="2"/>
        <v>16.1646</v>
      </c>
      <c r="N40" s="7">
        <f t="shared" si="3"/>
        <v>2.17156749935043</v>
      </c>
      <c r="O40" s="5">
        <f t="shared" si="4"/>
        <v>4734.48</v>
      </c>
      <c r="P40" s="8">
        <f t="shared" si="5"/>
        <v>53.9503146782624</v>
      </c>
      <c r="Q40" s="3" t="str">
        <f t="shared" si="6"/>
        <v>2024-12</v>
      </c>
    </row>
    <row r="41" customHeight="1" spans="1:17">
      <c r="A41" s="3" t="str">
        <f>Raw_Data!A41</f>
        <v>C0330</v>
      </c>
      <c r="B41" s="4">
        <f>Raw_Data!B41</f>
        <v>45647</v>
      </c>
      <c r="C41" s="3" t="str">
        <f>Raw_Data!C41</f>
        <v>Facebook</v>
      </c>
      <c r="D41" s="3" t="str">
        <f>Raw_Data!D41</f>
        <v>West</v>
      </c>
      <c r="E41" s="5">
        <f>Raw_Data!E41</f>
        <v>6043.79</v>
      </c>
      <c r="F41" s="5">
        <f>Raw_Data!F41</f>
        <v>5281.79</v>
      </c>
      <c r="G41" s="3">
        <f>Raw_Data!G41</f>
        <v>83532</v>
      </c>
      <c r="H41" s="3">
        <f>Raw_Data!H41</f>
        <v>3585</v>
      </c>
      <c r="I41" s="3">
        <f>Raw_Data!I41</f>
        <v>478</v>
      </c>
      <c r="J41" s="5">
        <f>Raw_Data!J41</f>
        <v>21305.93</v>
      </c>
      <c r="K41" s="6">
        <f t="shared" si="0"/>
        <v>0.04291768424077</v>
      </c>
      <c r="L41" s="5">
        <f t="shared" si="1"/>
        <v>1.47330264993027</v>
      </c>
      <c r="M41" s="5">
        <f t="shared" si="2"/>
        <v>11.049769874477</v>
      </c>
      <c r="N41" s="7">
        <f t="shared" si="3"/>
        <v>4.03384648007588</v>
      </c>
      <c r="O41" s="5">
        <f t="shared" si="4"/>
        <v>16024.14</v>
      </c>
      <c r="P41" s="8">
        <f t="shared" si="5"/>
        <v>75.2097655441466</v>
      </c>
      <c r="Q41" s="3" t="str">
        <f t="shared" si="6"/>
        <v>2024-12</v>
      </c>
    </row>
    <row r="42" customHeight="1" spans="1:17">
      <c r="A42" s="3" t="str">
        <f>Raw_Data!A42</f>
        <v>C0137</v>
      </c>
      <c r="B42" s="4">
        <f>Raw_Data!B42</f>
        <v>45650</v>
      </c>
      <c r="C42" s="3" t="str">
        <f>Raw_Data!C42</f>
        <v>Instagram</v>
      </c>
      <c r="D42" s="3" t="str">
        <f>Raw_Data!D42</f>
        <v>South</v>
      </c>
      <c r="E42" s="5">
        <f>Raw_Data!E42</f>
        <v>9337.67</v>
      </c>
      <c r="F42" s="5">
        <f>Raw_Data!F42</f>
        <v>7725.86</v>
      </c>
      <c r="G42" s="3">
        <f>Raw_Data!G42</f>
        <v>163943</v>
      </c>
      <c r="H42" s="3">
        <f>Raw_Data!H42</f>
        <v>2848</v>
      </c>
      <c r="I42" s="3">
        <f>Raw_Data!I42</f>
        <v>536</v>
      </c>
      <c r="J42" s="5">
        <f>Raw_Data!J42</f>
        <v>15854.56</v>
      </c>
      <c r="K42" s="6">
        <f t="shared" si="0"/>
        <v>0.0173718914500772</v>
      </c>
      <c r="L42" s="5">
        <f t="shared" si="1"/>
        <v>2.71273174157303</v>
      </c>
      <c r="M42" s="5">
        <f t="shared" si="2"/>
        <v>14.4139179104478</v>
      </c>
      <c r="N42" s="7">
        <f t="shared" si="3"/>
        <v>2.05214176803618</v>
      </c>
      <c r="O42" s="5">
        <f t="shared" si="4"/>
        <v>8128.7</v>
      </c>
      <c r="P42" s="8">
        <f t="shared" si="5"/>
        <v>51.2704231464008</v>
      </c>
      <c r="Q42" s="3" t="str">
        <f t="shared" si="6"/>
        <v>2024-12</v>
      </c>
    </row>
    <row r="43" customHeight="1" spans="1:17">
      <c r="A43" s="3" t="str">
        <f>Raw_Data!A43</f>
        <v>C0253</v>
      </c>
      <c r="B43" s="4">
        <f>Raw_Data!B43</f>
        <v>45651</v>
      </c>
      <c r="C43" s="3" t="str">
        <f>Raw_Data!C43</f>
        <v>Google Ads</v>
      </c>
      <c r="D43" s="3" t="str">
        <f>Raw_Data!D43</f>
        <v>South</v>
      </c>
      <c r="E43" s="5">
        <f>Raw_Data!E43</f>
        <v>7340.51</v>
      </c>
      <c r="F43" s="5">
        <f>Raw_Data!F43</f>
        <v>7047.17</v>
      </c>
      <c r="G43" s="3">
        <f>Raw_Data!G43</f>
        <v>103661</v>
      </c>
      <c r="H43" s="3">
        <f>Raw_Data!H43</f>
        <v>3336</v>
      </c>
      <c r="I43" s="3">
        <f>Raw_Data!I43</f>
        <v>394</v>
      </c>
      <c r="J43" s="5">
        <f>Raw_Data!J43</f>
        <v>18445.81</v>
      </c>
      <c r="K43" s="6">
        <f t="shared" si="0"/>
        <v>0.0321818234437252</v>
      </c>
      <c r="L43" s="5">
        <f t="shared" si="1"/>
        <v>2.11246103117506</v>
      </c>
      <c r="M43" s="5">
        <f t="shared" si="2"/>
        <v>17.8862182741117</v>
      </c>
      <c r="N43" s="7">
        <f t="shared" si="3"/>
        <v>2.61747765415053</v>
      </c>
      <c r="O43" s="5">
        <f t="shared" si="4"/>
        <v>11398.64</v>
      </c>
      <c r="P43" s="8">
        <f t="shared" si="5"/>
        <v>61.7952803373774</v>
      </c>
      <c r="Q43" s="3" t="str">
        <f t="shared" si="6"/>
        <v>2024-12</v>
      </c>
    </row>
    <row r="44" customHeight="1" spans="1:17">
      <c r="A44" s="3" t="str">
        <f>Raw_Data!A44</f>
        <v>C0404</v>
      </c>
      <c r="B44" s="4">
        <f>Raw_Data!B44</f>
        <v>45652</v>
      </c>
      <c r="C44" s="3" t="str">
        <f>Raw_Data!C44</f>
        <v>Instagram</v>
      </c>
      <c r="D44" s="3" t="str">
        <f>Raw_Data!D44</f>
        <v>West</v>
      </c>
      <c r="E44" s="5">
        <f>Raw_Data!E44</f>
        <v>9979.87</v>
      </c>
      <c r="F44" s="5">
        <f>Raw_Data!F44</f>
        <v>9259.87</v>
      </c>
      <c r="G44" s="3">
        <f>Raw_Data!G44</f>
        <v>92070</v>
      </c>
      <c r="H44" s="3">
        <f>Raw_Data!H44</f>
        <v>2984</v>
      </c>
      <c r="I44" s="3">
        <f>Raw_Data!I44</f>
        <v>369</v>
      </c>
      <c r="J44" s="5">
        <f>Raw_Data!J44</f>
        <v>12376.85</v>
      </c>
      <c r="K44" s="6">
        <f t="shared" si="0"/>
        <v>0.0324101227327034</v>
      </c>
      <c r="L44" s="5">
        <f t="shared" si="1"/>
        <v>3.1031735924933</v>
      </c>
      <c r="M44" s="5">
        <f t="shared" si="2"/>
        <v>25.0944986449865</v>
      </c>
      <c r="N44" s="7">
        <f t="shared" si="3"/>
        <v>1.33661163709642</v>
      </c>
      <c r="O44" s="5">
        <f t="shared" si="4"/>
        <v>3116.98</v>
      </c>
      <c r="P44" s="8">
        <f t="shared" si="5"/>
        <v>25.1839522980403</v>
      </c>
      <c r="Q44" s="3" t="str">
        <f t="shared" si="6"/>
        <v>2024-12</v>
      </c>
    </row>
    <row r="45" customHeight="1" spans="1:17">
      <c r="A45" s="3" t="str">
        <f>Raw_Data!A45</f>
        <v>C0247</v>
      </c>
      <c r="B45" s="4">
        <f>Raw_Data!B45</f>
        <v>45652</v>
      </c>
      <c r="C45" s="3" t="str">
        <f>Raw_Data!C45</f>
        <v>Facebook</v>
      </c>
      <c r="D45" s="3" t="str">
        <f>Raw_Data!D45</f>
        <v>East</v>
      </c>
      <c r="E45" s="5">
        <f>Raw_Data!E45</f>
        <v>6073.94</v>
      </c>
      <c r="F45" s="5">
        <f>Raw_Data!F45</f>
        <v>5546.01</v>
      </c>
      <c r="G45" s="3">
        <f>Raw_Data!G45</f>
        <v>106358</v>
      </c>
      <c r="H45" s="3">
        <f>Raw_Data!H45</f>
        <v>1150</v>
      </c>
      <c r="I45" s="3">
        <f>Raw_Data!I45</f>
        <v>118</v>
      </c>
      <c r="J45" s="5">
        <f>Raw_Data!J45</f>
        <v>3997.89</v>
      </c>
      <c r="K45" s="6">
        <f t="shared" si="0"/>
        <v>0.0108125387841065</v>
      </c>
      <c r="L45" s="5">
        <f t="shared" si="1"/>
        <v>4.82261739130435</v>
      </c>
      <c r="M45" s="5">
        <f t="shared" si="2"/>
        <v>47.0000847457627</v>
      </c>
      <c r="N45" s="7">
        <f t="shared" si="3"/>
        <v>0.720858779555031</v>
      </c>
      <c r="O45" s="5">
        <f t="shared" si="4"/>
        <v>-1548.12</v>
      </c>
      <c r="P45" s="8">
        <f t="shared" si="5"/>
        <v>-38.7234266075355</v>
      </c>
      <c r="Q45" s="3" t="str">
        <f t="shared" si="6"/>
        <v>2024-12</v>
      </c>
    </row>
    <row r="46" customHeight="1" spans="1:17">
      <c r="A46" s="3" t="str">
        <f>Raw_Data!A46</f>
        <v>C0436</v>
      </c>
      <c r="B46" s="4">
        <f>Raw_Data!B46</f>
        <v>45653</v>
      </c>
      <c r="C46" s="3" t="str">
        <f>Raw_Data!C46</f>
        <v>Instagram</v>
      </c>
      <c r="D46" s="3" t="str">
        <f>Raw_Data!D46</f>
        <v>East</v>
      </c>
      <c r="E46" s="5">
        <f>Raw_Data!E46</f>
        <v>9096.78</v>
      </c>
      <c r="F46" s="5">
        <f>Raw_Data!F46</f>
        <v>9226.19</v>
      </c>
      <c r="G46" s="3">
        <f>Raw_Data!G46</f>
        <v>142353</v>
      </c>
      <c r="H46" s="3">
        <f>Raw_Data!H46</f>
        <v>4745</v>
      </c>
      <c r="I46" s="3">
        <f>Raw_Data!I46</f>
        <v>555</v>
      </c>
      <c r="J46" s="5">
        <f>Raw_Data!J46</f>
        <v>24448.77</v>
      </c>
      <c r="K46" s="6">
        <f t="shared" si="0"/>
        <v>0.0333326308542848</v>
      </c>
      <c r="L46" s="5">
        <f t="shared" si="1"/>
        <v>1.94440252897787</v>
      </c>
      <c r="M46" s="5">
        <f t="shared" si="2"/>
        <v>16.6237657657658</v>
      </c>
      <c r="N46" s="7">
        <f t="shared" si="3"/>
        <v>2.64993133677065</v>
      </c>
      <c r="O46" s="5">
        <f t="shared" si="4"/>
        <v>15222.58</v>
      </c>
      <c r="P46" s="8">
        <f t="shared" si="5"/>
        <v>62.2631731575863</v>
      </c>
      <c r="Q46" s="3" t="str">
        <f t="shared" si="6"/>
        <v>2024-12</v>
      </c>
    </row>
    <row r="47" customHeight="1" spans="1:17">
      <c r="A47" s="3" t="str">
        <f>Raw_Data!A47</f>
        <v>C0035</v>
      </c>
      <c r="B47" s="4">
        <f>Raw_Data!B47</f>
        <v>45653</v>
      </c>
      <c r="C47" s="3" t="str">
        <f>Raw_Data!C47</f>
        <v>Twitter</v>
      </c>
      <c r="D47" s="3" t="str">
        <f>Raw_Data!D47</f>
        <v>North</v>
      </c>
      <c r="E47" s="5">
        <f>Raw_Data!E47</f>
        <v>5200.49</v>
      </c>
      <c r="F47" s="5">
        <f>Raw_Data!F47</f>
        <v>4953.84</v>
      </c>
      <c r="G47" s="3">
        <f>Raw_Data!G47</f>
        <v>146830</v>
      </c>
      <c r="H47" s="3">
        <f>Raw_Data!H47</f>
        <v>6778</v>
      </c>
      <c r="I47" s="3">
        <f>Raw_Data!I47</f>
        <v>787</v>
      </c>
      <c r="J47" s="5">
        <f>Raw_Data!J47</f>
        <v>37167.64</v>
      </c>
      <c r="K47" s="6">
        <f t="shared" si="0"/>
        <v>0.0461622284274331</v>
      </c>
      <c r="L47" s="5">
        <f t="shared" si="1"/>
        <v>0.7308704632635</v>
      </c>
      <c r="M47" s="5">
        <f t="shared" si="2"/>
        <v>6.29458703939009</v>
      </c>
      <c r="N47" s="7">
        <f t="shared" si="3"/>
        <v>7.50279379229042</v>
      </c>
      <c r="O47" s="5">
        <f t="shared" si="4"/>
        <v>32213.8</v>
      </c>
      <c r="P47" s="8">
        <f t="shared" si="5"/>
        <v>86.6716315590659</v>
      </c>
      <c r="Q47" s="3" t="str">
        <f t="shared" si="6"/>
        <v>2024-12</v>
      </c>
    </row>
    <row r="48" customHeight="1" spans="1:17">
      <c r="A48" s="3" t="str">
        <f>Raw_Data!A48</f>
        <v>C0348</v>
      </c>
      <c r="B48" s="4">
        <f>Raw_Data!B48</f>
        <v>45653</v>
      </c>
      <c r="C48" s="3" t="str">
        <f>Raw_Data!C48</f>
        <v>Google Ads</v>
      </c>
      <c r="D48" s="3" t="str">
        <f>Raw_Data!D48</f>
        <v>West</v>
      </c>
      <c r="E48" s="5">
        <f>Raw_Data!E48</f>
        <v>8535.06</v>
      </c>
      <c r="F48" s="5">
        <f>Raw_Data!F48</f>
        <v>7644.22</v>
      </c>
      <c r="G48" s="3">
        <f>Raw_Data!G48</f>
        <v>192331</v>
      </c>
      <c r="H48" s="3">
        <f>Raw_Data!H48</f>
        <v>2108</v>
      </c>
      <c r="I48" s="3">
        <f>Raw_Data!I48</f>
        <v>210</v>
      </c>
      <c r="J48" s="5">
        <f>Raw_Data!J48</f>
        <v>8143.12</v>
      </c>
      <c r="K48" s="6">
        <f t="shared" si="0"/>
        <v>0.0109602716150803</v>
      </c>
      <c r="L48" s="5">
        <f t="shared" si="1"/>
        <v>3.62629032258065</v>
      </c>
      <c r="M48" s="5">
        <f t="shared" si="2"/>
        <v>36.4010476190476</v>
      </c>
      <c r="N48" s="7">
        <f t="shared" si="3"/>
        <v>1.06526499760603</v>
      </c>
      <c r="O48" s="5">
        <f t="shared" si="4"/>
        <v>498.9</v>
      </c>
      <c r="P48" s="8">
        <f t="shared" si="5"/>
        <v>6.12664433288469</v>
      </c>
      <c r="Q48" s="3" t="str">
        <f t="shared" si="6"/>
        <v>2024-12</v>
      </c>
    </row>
    <row r="49" customHeight="1" spans="1:17">
      <c r="A49" s="3" t="str">
        <f>Raw_Data!A49</f>
        <v>C0377</v>
      </c>
      <c r="B49" s="4">
        <f>Raw_Data!B49</f>
        <v>45654</v>
      </c>
      <c r="C49" s="3" t="str">
        <f>Raw_Data!C49</f>
        <v>Instagram</v>
      </c>
      <c r="D49" s="3" t="str">
        <f>Raw_Data!D49</f>
        <v>West</v>
      </c>
      <c r="E49" s="5">
        <f>Raw_Data!E49</f>
        <v>5608.82</v>
      </c>
      <c r="F49" s="5">
        <f>Raw_Data!F49</f>
        <v>4924.13</v>
      </c>
      <c r="G49" s="3">
        <f>Raw_Data!G49</f>
        <v>146101</v>
      </c>
      <c r="H49" s="3">
        <f>Raw_Data!H49</f>
        <v>1999</v>
      </c>
      <c r="I49" s="3">
        <f>Raw_Data!I49</f>
        <v>79</v>
      </c>
      <c r="J49" s="5">
        <f>Raw_Data!J49</f>
        <v>3294.51</v>
      </c>
      <c r="K49" s="6">
        <f t="shared" si="0"/>
        <v>0.0136823156583459</v>
      </c>
      <c r="L49" s="5">
        <f t="shared" si="1"/>
        <v>2.46329664832416</v>
      </c>
      <c r="M49" s="5">
        <f t="shared" si="2"/>
        <v>62.3307594936709</v>
      </c>
      <c r="N49" s="7">
        <f t="shared" si="3"/>
        <v>0.669054228868856</v>
      </c>
      <c r="O49" s="5">
        <f t="shared" si="4"/>
        <v>-1629.62</v>
      </c>
      <c r="P49" s="8">
        <f t="shared" si="5"/>
        <v>-49.4647155419167</v>
      </c>
      <c r="Q49" s="3" t="str">
        <f t="shared" si="6"/>
        <v>2024-12</v>
      </c>
    </row>
    <row r="50" customHeight="1" spans="1:17">
      <c r="A50" s="3" t="str">
        <f>Raw_Data!A50</f>
        <v>C0066</v>
      </c>
      <c r="B50" s="4">
        <f>Raw_Data!B50</f>
        <v>45654</v>
      </c>
      <c r="C50" s="3" t="str">
        <f>Raw_Data!C50</f>
        <v>LinkedIn</v>
      </c>
      <c r="D50" s="3" t="str">
        <f>Raw_Data!D50</f>
        <v>North</v>
      </c>
      <c r="E50" s="5">
        <f>Raw_Data!E50</f>
        <v>5444.47</v>
      </c>
      <c r="F50" s="5">
        <f>Raw_Data!F50</f>
        <v>5541.31</v>
      </c>
      <c r="G50" s="3">
        <f>Raw_Data!G50</f>
        <v>180933</v>
      </c>
      <c r="H50" s="3">
        <f>Raw_Data!H50</f>
        <v>2435</v>
      </c>
      <c r="I50" s="3">
        <f>Raw_Data!I50</f>
        <v>256</v>
      </c>
      <c r="J50" s="5">
        <f>Raw_Data!J50</f>
        <v>12009.81</v>
      </c>
      <c r="K50" s="6">
        <f t="shared" si="0"/>
        <v>0.013458020372182</v>
      </c>
      <c r="L50" s="5">
        <f t="shared" si="1"/>
        <v>2.27569199178645</v>
      </c>
      <c r="M50" s="5">
        <f t="shared" si="2"/>
        <v>21.6457421875</v>
      </c>
      <c r="N50" s="7">
        <f t="shared" si="3"/>
        <v>2.16732325027836</v>
      </c>
      <c r="O50" s="5">
        <f t="shared" si="4"/>
        <v>6468.5</v>
      </c>
      <c r="P50" s="8">
        <f t="shared" si="5"/>
        <v>53.8601360054822</v>
      </c>
      <c r="Q50" s="3" t="str">
        <f t="shared" si="6"/>
        <v>2024-12</v>
      </c>
    </row>
    <row r="51" customHeight="1" spans="1:17">
      <c r="A51" s="3" t="str">
        <f>Raw_Data!A51</f>
        <v>C0472</v>
      </c>
      <c r="B51" s="4">
        <f>Raw_Data!B51</f>
        <v>45654</v>
      </c>
      <c r="C51" s="3" t="str">
        <f>Raw_Data!C51</f>
        <v>Instagram</v>
      </c>
      <c r="D51" s="3" t="str">
        <f>Raw_Data!D51</f>
        <v>South</v>
      </c>
      <c r="E51" s="5">
        <f>Raw_Data!E51</f>
        <v>3399.61</v>
      </c>
      <c r="F51" s="5">
        <f>Raw_Data!F51</f>
        <v>3261.42</v>
      </c>
      <c r="G51" s="3">
        <f>Raw_Data!G51</f>
        <v>75127</v>
      </c>
      <c r="H51" s="3">
        <f>Raw_Data!H51</f>
        <v>3158</v>
      </c>
      <c r="I51" s="3">
        <f>Raw_Data!I51</f>
        <v>620</v>
      </c>
      <c r="J51" s="5">
        <f>Raw_Data!J51</f>
        <v>29820.87</v>
      </c>
      <c r="K51" s="6">
        <f t="shared" si="0"/>
        <v>0.0420354865760645</v>
      </c>
      <c r="L51" s="5">
        <f t="shared" si="1"/>
        <v>1.0327485750475</v>
      </c>
      <c r="M51" s="5">
        <f t="shared" si="2"/>
        <v>5.26035483870968</v>
      </c>
      <c r="N51" s="7">
        <f t="shared" si="3"/>
        <v>9.14352337325459</v>
      </c>
      <c r="O51" s="5">
        <f t="shared" si="4"/>
        <v>26559.45</v>
      </c>
      <c r="P51" s="8">
        <f t="shared" si="5"/>
        <v>89.063296946065</v>
      </c>
      <c r="Q51" s="3" t="str">
        <f t="shared" si="6"/>
        <v>2024-12</v>
      </c>
    </row>
    <row r="52" customHeight="1" spans="1:17">
      <c r="A52" s="3" t="str">
        <f>Raw_Data!A52</f>
        <v>C0371</v>
      </c>
      <c r="B52" s="4">
        <f>Raw_Data!B52</f>
        <v>45655</v>
      </c>
      <c r="C52" s="3" t="str">
        <f>Raw_Data!C52</f>
        <v>Twitter</v>
      </c>
      <c r="D52" s="3" t="str">
        <f>Raw_Data!D52</f>
        <v>West</v>
      </c>
      <c r="E52" s="5">
        <f>Raw_Data!E52</f>
        <v>8710.83</v>
      </c>
      <c r="F52" s="5">
        <f>Raw_Data!F52</f>
        <v>7555.18</v>
      </c>
      <c r="G52" s="3">
        <f>Raw_Data!G52</f>
        <v>117796</v>
      </c>
      <c r="H52" s="3">
        <f>Raw_Data!H52</f>
        <v>2015</v>
      </c>
      <c r="I52" s="3">
        <f>Raw_Data!I52</f>
        <v>234</v>
      </c>
      <c r="J52" s="5">
        <f>Raw_Data!J52</f>
        <v>6251.2</v>
      </c>
      <c r="K52" s="6">
        <f t="shared" si="0"/>
        <v>0.0171058440014941</v>
      </c>
      <c r="L52" s="5">
        <f t="shared" si="1"/>
        <v>3.74946898263027</v>
      </c>
      <c r="M52" s="5">
        <f t="shared" si="2"/>
        <v>32.287094017094</v>
      </c>
      <c r="N52" s="7">
        <f t="shared" si="3"/>
        <v>0.827405832819337</v>
      </c>
      <c r="O52" s="5">
        <f t="shared" si="4"/>
        <v>-1303.98</v>
      </c>
      <c r="P52" s="8">
        <f t="shared" si="5"/>
        <v>-20.8596749424111</v>
      </c>
      <c r="Q52" s="3" t="str">
        <f t="shared" si="6"/>
        <v>2024-12</v>
      </c>
    </row>
    <row r="53" customHeight="1" spans="1:17">
      <c r="A53" s="3" t="str">
        <f>Raw_Data!A53</f>
        <v>C0298</v>
      </c>
      <c r="B53" s="4">
        <f>Raw_Data!B53</f>
        <v>45655</v>
      </c>
      <c r="C53" s="3" t="str">
        <f>Raw_Data!C53</f>
        <v>Google Ads</v>
      </c>
      <c r="D53" s="3" t="str">
        <f>Raw_Data!D53</f>
        <v>South</v>
      </c>
      <c r="E53" s="5">
        <f>Raw_Data!E53</f>
        <v>8989.88</v>
      </c>
      <c r="F53" s="5">
        <f>Raw_Data!F53</f>
        <v>9430.98</v>
      </c>
      <c r="G53" s="3">
        <f>Raw_Data!G53</f>
        <v>152642</v>
      </c>
      <c r="H53" s="3">
        <f>Raw_Data!H53</f>
        <v>2474</v>
      </c>
      <c r="I53" s="3">
        <f>Raw_Data!I53</f>
        <v>292</v>
      </c>
      <c r="J53" s="5">
        <f>Raw_Data!J53</f>
        <v>9319.33</v>
      </c>
      <c r="K53" s="6">
        <f t="shared" si="0"/>
        <v>0.0162078589117019</v>
      </c>
      <c r="L53" s="5">
        <f t="shared" si="1"/>
        <v>3.81203718674212</v>
      </c>
      <c r="M53" s="5">
        <f t="shared" si="2"/>
        <v>32.2978767123288</v>
      </c>
      <c r="N53" s="7">
        <f t="shared" si="3"/>
        <v>0.988161357568355</v>
      </c>
      <c r="O53" s="5">
        <f t="shared" si="4"/>
        <v>-111.65</v>
      </c>
      <c r="P53" s="8">
        <f t="shared" si="5"/>
        <v>-1.19804749912279</v>
      </c>
      <c r="Q53" s="3" t="str">
        <f t="shared" si="6"/>
        <v>2024-12</v>
      </c>
    </row>
    <row r="54" customHeight="1" spans="1:17">
      <c r="A54" s="3" t="str">
        <f>Raw_Data!A54</f>
        <v>C0461</v>
      </c>
      <c r="B54" s="4">
        <f>Raw_Data!B54</f>
        <v>45655</v>
      </c>
      <c r="C54" s="3" t="str">
        <f>Raw_Data!C54</f>
        <v>Google Ads</v>
      </c>
      <c r="D54" s="3" t="str">
        <f>Raw_Data!D54</f>
        <v>South</v>
      </c>
      <c r="E54" s="5">
        <f>Raw_Data!E54</f>
        <v>4144.67</v>
      </c>
      <c r="F54" s="5">
        <f>Raw_Data!F54</f>
        <v>3802.01</v>
      </c>
      <c r="G54" s="3">
        <f>Raw_Data!G54</f>
        <v>111392</v>
      </c>
      <c r="H54" s="3">
        <f>Raw_Data!H54</f>
        <v>4309</v>
      </c>
      <c r="I54" s="3">
        <f>Raw_Data!I54</f>
        <v>82</v>
      </c>
      <c r="J54" s="5">
        <f>Raw_Data!J54</f>
        <v>4024.75</v>
      </c>
      <c r="K54" s="6">
        <f t="shared" si="0"/>
        <v>0.0386832088480322</v>
      </c>
      <c r="L54" s="5">
        <f t="shared" si="1"/>
        <v>0.882341610582502</v>
      </c>
      <c r="M54" s="5">
        <f t="shared" si="2"/>
        <v>46.3659756097561</v>
      </c>
      <c r="N54" s="7">
        <f t="shared" si="3"/>
        <v>1.05858480119726</v>
      </c>
      <c r="O54" s="5">
        <f t="shared" si="4"/>
        <v>222.74</v>
      </c>
      <c r="P54" s="8">
        <f t="shared" si="5"/>
        <v>5.53425678613578</v>
      </c>
      <c r="Q54" s="3" t="str">
        <f t="shared" si="6"/>
        <v>2024-12</v>
      </c>
    </row>
    <row r="55" customHeight="1" spans="1:17">
      <c r="A55" s="3" t="str">
        <f>Raw_Data!A55</f>
        <v>C0217</v>
      </c>
      <c r="B55" s="4">
        <f>Raw_Data!B55</f>
        <v>45656</v>
      </c>
      <c r="C55" s="3" t="str">
        <f>Raw_Data!C55</f>
        <v>Instagram</v>
      </c>
      <c r="D55" s="3" t="str">
        <f>Raw_Data!D55</f>
        <v>North</v>
      </c>
      <c r="E55" s="5">
        <f>Raw_Data!E55</f>
        <v>8524.2</v>
      </c>
      <c r="F55" s="5">
        <f>Raw_Data!F55</f>
        <v>8094.01</v>
      </c>
      <c r="G55" s="3">
        <f>Raw_Data!G55</f>
        <v>57737</v>
      </c>
      <c r="H55" s="3">
        <f>Raw_Data!H55</f>
        <v>1530</v>
      </c>
      <c r="I55" s="3">
        <f>Raw_Data!I55</f>
        <v>286</v>
      </c>
      <c r="J55" s="5">
        <f>Raw_Data!J55</f>
        <v>6465.78</v>
      </c>
      <c r="K55" s="6">
        <f t="shared" si="0"/>
        <v>0.0264994717425568</v>
      </c>
      <c r="L55" s="5">
        <f t="shared" si="1"/>
        <v>5.29020261437909</v>
      </c>
      <c r="M55" s="5">
        <f t="shared" si="2"/>
        <v>28.3007342657343</v>
      </c>
      <c r="N55" s="7">
        <f t="shared" si="3"/>
        <v>0.79883518799705</v>
      </c>
      <c r="O55" s="5">
        <f t="shared" si="4"/>
        <v>-1628.23</v>
      </c>
      <c r="P55" s="8">
        <f t="shared" si="5"/>
        <v>-25.1822672593253</v>
      </c>
      <c r="Q55" s="3" t="str">
        <f t="shared" si="6"/>
        <v>2024-12</v>
      </c>
    </row>
    <row r="56" customHeight="1" spans="1:17">
      <c r="A56" s="3" t="str">
        <f>Raw_Data!A56</f>
        <v>C0344</v>
      </c>
      <c r="B56" s="4">
        <f>Raw_Data!B56</f>
        <v>45656</v>
      </c>
      <c r="C56" s="3" t="str">
        <f>Raw_Data!C56</f>
        <v>Google Ads</v>
      </c>
      <c r="D56" s="3" t="str">
        <f>Raw_Data!D56</f>
        <v>North</v>
      </c>
      <c r="E56" s="5">
        <f>Raw_Data!E56</f>
        <v>8802.41</v>
      </c>
      <c r="F56" s="5">
        <f>Raw_Data!F56</f>
        <v>7139.65</v>
      </c>
      <c r="G56" s="3">
        <f>Raw_Data!G56</f>
        <v>135367</v>
      </c>
      <c r="H56" s="3">
        <f>Raw_Data!H56</f>
        <v>1109</v>
      </c>
      <c r="I56" s="3">
        <f>Raw_Data!I56</f>
        <v>182</v>
      </c>
      <c r="J56" s="5">
        <f>Raw_Data!J56</f>
        <v>6895.63</v>
      </c>
      <c r="K56" s="6">
        <f t="shared" si="0"/>
        <v>0.00819254323431856</v>
      </c>
      <c r="L56" s="5">
        <f t="shared" si="1"/>
        <v>6.43791704238052</v>
      </c>
      <c r="M56" s="5">
        <f t="shared" si="2"/>
        <v>39.2288461538461</v>
      </c>
      <c r="N56" s="7">
        <f t="shared" si="3"/>
        <v>0.965821854012452</v>
      </c>
      <c r="O56" s="5">
        <f t="shared" si="4"/>
        <v>-244.02</v>
      </c>
      <c r="P56" s="8">
        <f t="shared" si="5"/>
        <v>-3.53876295566902</v>
      </c>
      <c r="Q56" s="3" t="str">
        <f t="shared" si="6"/>
        <v>2024-12</v>
      </c>
    </row>
    <row r="57" customHeight="1" spans="1:17">
      <c r="A57" s="3" t="str">
        <f>Raw_Data!A57</f>
        <v>C0274</v>
      </c>
      <c r="B57" s="4">
        <f>Raw_Data!B57</f>
        <v>45657</v>
      </c>
      <c r="C57" s="3" t="str">
        <f>Raw_Data!C57</f>
        <v>Google Ads</v>
      </c>
      <c r="D57" s="3" t="str">
        <f>Raw_Data!D57</f>
        <v>South</v>
      </c>
      <c r="E57" s="5">
        <f>Raw_Data!E57</f>
        <v>5346.38</v>
      </c>
      <c r="F57" s="5">
        <f>Raw_Data!F57</f>
        <v>5564.81</v>
      </c>
      <c r="G57" s="3">
        <f>Raw_Data!G57</f>
        <v>67097</v>
      </c>
      <c r="H57" s="3">
        <f>Raw_Data!H57</f>
        <v>1613</v>
      </c>
      <c r="I57" s="3">
        <f>Raw_Data!I57</f>
        <v>258</v>
      </c>
      <c r="J57" s="5">
        <f>Raw_Data!J57</f>
        <v>5195.85</v>
      </c>
      <c r="K57" s="6">
        <f t="shared" si="0"/>
        <v>0.0240398229429036</v>
      </c>
      <c r="L57" s="5">
        <f t="shared" si="1"/>
        <v>3.44997520148791</v>
      </c>
      <c r="M57" s="5">
        <f t="shared" si="2"/>
        <v>21.5690310077519</v>
      </c>
      <c r="N57" s="7">
        <f t="shared" si="3"/>
        <v>0.933697646460526</v>
      </c>
      <c r="O57" s="5">
        <f t="shared" si="4"/>
        <v>-368.96</v>
      </c>
      <c r="P57" s="8">
        <f t="shared" si="5"/>
        <v>-7.10105180095653</v>
      </c>
      <c r="Q57" s="3" t="str">
        <f t="shared" si="6"/>
        <v>2024-12</v>
      </c>
    </row>
    <row r="58" customHeight="1" spans="1:17">
      <c r="A58" s="3" t="str">
        <f>Raw_Data!A58</f>
        <v>C0475</v>
      </c>
      <c r="B58" s="4">
        <f>Raw_Data!B58</f>
        <v>45658</v>
      </c>
      <c r="C58" s="3" t="str">
        <f>Raw_Data!C58</f>
        <v>LinkedIn</v>
      </c>
      <c r="D58" s="3" t="str">
        <f>Raw_Data!D58</f>
        <v>North</v>
      </c>
      <c r="E58" s="5">
        <f>Raw_Data!E58</f>
        <v>3291.01</v>
      </c>
      <c r="F58" s="5">
        <f>Raw_Data!F58</f>
        <v>2779.27</v>
      </c>
      <c r="G58" s="3">
        <f>Raw_Data!G58</f>
        <v>74195</v>
      </c>
      <c r="H58" s="3">
        <f>Raw_Data!H58</f>
        <v>2526</v>
      </c>
      <c r="I58" s="3">
        <f>Raw_Data!I58</f>
        <v>392</v>
      </c>
      <c r="J58" s="5">
        <f>Raw_Data!J58</f>
        <v>19442.77</v>
      </c>
      <c r="K58" s="6">
        <f t="shared" si="0"/>
        <v>0.0340454208504616</v>
      </c>
      <c r="L58" s="5">
        <f t="shared" si="1"/>
        <v>1.10026524148852</v>
      </c>
      <c r="M58" s="5">
        <f t="shared" si="2"/>
        <v>7.08997448979592</v>
      </c>
      <c r="N58" s="7">
        <f t="shared" si="3"/>
        <v>6.99563914265257</v>
      </c>
      <c r="O58" s="5">
        <f t="shared" si="4"/>
        <v>16663.5</v>
      </c>
      <c r="P58" s="8">
        <f t="shared" si="5"/>
        <v>85.70538045762</v>
      </c>
      <c r="Q58" s="3" t="str">
        <f t="shared" si="6"/>
        <v>2025-01</v>
      </c>
    </row>
    <row r="59" customHeight="1" spans="1:17">
      <c r="A59" s="3" t="str">
        <f>Raw_Data!A59</f>
        <v>C0214</v>
      </c>
      <c r="B59" s="4">
        <f>Raw_Data!B59</f>
        <v>45658</v>
      </c>
      <c r="C59" s="3" t="str">
        <f>Raw_Data!C59</f>
        <v>LinkedIn</v>
      </c>
      <c r="D59" s="3" t="str">
        <f>Raw_Data!D59</f>
        <v>North</v>
      </c>
      <c r="E59" s="5">
        <f>Raw_Data!E59</f>
        <v>5640.99</v>
      </c>
      <c r="F59" s="5">
        <f>Raw_Data!F59</f>
        <v>4546.76</v>
      </c>
      <c r="G59" s="3">
        <f>Raw_Data!G59</f>
        <v>53730</v>
      </c>
      <c r="H59" s="3">
        <f>Raw_Data!H59</f>
        <v>2251</v>
      </c>
      <c r="I59" s="3">
        <f>Raw_Data!I59</f>
        <v>253</v>
      </c>
      <c r="J59" s="5">
        <f>Raw_Data!J59</f>
        <v>7504.58</v>
      </c>
      <c r="K59" s="6">
        <f t="shared" si="0"/>
        <v>0.0418946584775731</v>
      </c>
      <c r="L59" s="5">
        <f t="shared" si="1"/>
        <v>2.01988449577965</v>
      </c>
      <c r="M59" s="5">
        <f t="shared" si="2"/>
        <v>17.9713833992095</v>
      </c>
      <c r="N59" s="7">
        <f t="shared" si="3"/>
        <v>1.65053356675963</v>
      </c>
      <c r="O59" s="5">
        <f t="shared" si="4"/>
        <v>2957.82</v>
      </c>
      <c r="P59" s="8">
        <f t="shared" si="5"/>
        <v>39.4135314701156</v>
      </c>
      <c r="Q59" s="3" t="str">
        <f t="shared" si="6"/>
        <v>2025-01</v>
      </c>
    </row>
    <row r="60" customHeight="1" spans="1:17">
      <c r="A60" s="3" t="str">
        <f>Raw_Data!A60</f>
        <v>C0452</v>
      </c>
      <c r="B60" s="4">
        <f>Raw_Data!B60</f>
        <v>45659</v>
      </c>
      <c r="C60" s="3" t="str">
        <f>Raw_Data!C60</f>
        <v>Instagram</v>
      </c>
      <c r="D60" s="3" t="str">
        <f>Raw_Data!D60</f>
        <v>North</v>
      </c>
      <c r="E60" s="5">
        <f>Raw_Data!E60</f>
        <v>8076.8</v>
      </c>
      <c r="F60" s="5">
        <f>Raw_Data!F60</f>
        <v>7640.66</v>
      </c>
      <c r="G60" s="3">
        <f>Raw_Data!G60</f>
        <v>148415</v>
      </c>
      <c r="H60" s="3">
        <f>Raw_Data!H60</f>
        <v>5679</v>
      </c>
      <c r="I60" s="3">
        <f>Raw_Data!I60</f>
        <v>1058</v>
      </c>
      <c r="J60" s="5">
        <f>Raw_Data!J60</f>
        <v>48882.45</v>
      </c>
      <c r="K60" s="6">
        <f t="shared" si="0"/>
        <v>0.0382643263821042</v>
      </c>
      <c r="L60" s="5">
        <f t="shared" si="1"/>
        <v>1.34542349005107</v>
      </c>
      <c r="M60" s="5">
        <f t="shared" si="2"/>
        <v>7.22179584120983</v>
      </c>
      <c r="N60" s="7">
        <f t="shared" si="3"/>
        <v>6.39767376116723</v>
      </c>
      <c r="O60" s="5">
        <f t="shared" si="4"/>
        <v>41241.79</v>
      </c>
      <c r="P60" s="8">
        <f t="shared" si="5"/>
        <v>84.3693186409437</v>
      </c>
      <c r="Q60" s="3" t="str">
        <f t="shared" si="6"/>
        <v>2025-01</v>
      </c>
    </row>
    <row r="61" customHeight="1" spans="1:17">
      <c r="A61" s="3" t="str">
        <f>Raw_Data!A61</f>
        <v>C0292</v>
      </c>
      <c r="B61" s="4">
        <f>Raw_Data!B61</f>
        <v>45661</v>
      </c>
      <c r="C61" s="3" t="str">
        <f>Raw_Data!C61</f>
        <v>Twitter</v>
      </c>
      <c r="D61" s="3" t="str">
        <f>Raw_Data!D61</f>
        <v>West</v>
      </c>
      <c r="E61" s="5">
        <f>Raw_Data!E61</f>
        <v>5861.14</v>
      </c>
      <c r="F61" s="5">
        <f>Raw_Data!F61</f>
        <v>4733.55</v>
      </c>
      <c r="G61" s="3">
        <f>Raw_Data!G61</f>
        <v>195477</v>
      </c>
      <c r="H61" s="3">
        <f>Raw_Data!H61</f>
        <v>3560</v>
      </c>
      <c r="I61" s="3">
        <f>Raw_Data!I61</f>
        <v>118</v>
      </c>
      <c r="J61" s="5">
        <f>Raw_Data!J61</f>
        <v>2912.78</v>
      </c>
      <c r="K61" s="6">
        <f t="shared" si="0"/>
        <v>0.0182118612419875</v>
      </c>
      <c r="L61" s="5">
        <f t="shared" si="1"/>
        <v>1.32964887640449</v>
      </c>
      <c r="M61" s="5">
        <f t="shared" si="2"/>
        <v>40.1148305084746</v>
      </c>
      <c r="N61" s="7">
        <f t="shared" si="3"/>
        <v>0.615347889005081</v>
      </c>
      <c r="O61" s="5">
        <f t="shared" si="4"/>
        <v>-1820.77</v>
      </c>
      <c r="P61" s="8">
        <f t="shared" si="5"/>
        <v>-62.5096986384142</v>
      </c>
      <c r="Q61" s="3" t="str">
        <f t="shared" si="6"/>
        <v>2025-01</v>
      </c>
    </row>
    <row r="62" customHeight="1" spans="1:17">
      <c r="A62" s="3" t="str">
        <f>Raw_Data!A62</f>
        <v>C0154</v>
      </c>
      <c r="B62" s="4">
        <f>Raw_Data!B62</f>
        <v>45661</v>
      </c>
      <c r="C62" s="3" t="str">
        <f>Raw_Data!C62</f>
        <v>Instagram</v>
      </c>
      <c r="D62" s="3" t="str">
        <f>Raw_Data!D62</f>
        <v>West</v>
      </c>
      <c r="E62" s="5">
        <f>Raw_Data!E62</f>
        <v>3831.73</v>
      </c>
      <c r="F62" s="5">
        <f>Raw_Data!F62</f>
        <v>3200.48</v>
      </c>
      <c r="G62" s="3">
        <f>Raw_Data!G62</f>
        <v>187830</v>
      </c>
      <c r="H62" s="3">
        <f>Raw_Data!H62</f>
        <v>5038</v>
      </c>
      <c r="I62" s="3">
        <f>Raw_Data!I62</f>
        <v>56</v>
      </c>
      <c r="J62" s="5">
        <f>Raw_Data!J62</f>
        <v>2210.67</v>
      </c>
      <c r="K62" s="6">
        <f t="shared" si="0"/>
        <v>0.0268221263908854</v>
      </c>
      <c r="L62" s="5">
        <f t="shared" si="1"/>
        <v>0.63526796347757</v>
      </c>
      <c r="M62" s="5">
        <f t="shared" si="2"/>
        <v>57.1514285714286</v>
      </c>
      <c r="N62" s="7">
        <f t="shared" si="3"/>
        <v>0.690730765385192</v>
      </c>
      <c r="O62" s="5">
        <f t="shared" si="4"/>
        <v>-989.81</v>
      </c>
      <c r="P62" s="8">
        <f t="shared" si="5"/>
        <v>-44.774208724052</v>
      </c>
      <c r="Q62" s="3" t="str">
        <f t="shared" si="6"/>
        <v>2025-01</v>
      </c>
    </row>
    <row r="63" customHeight="1" spans="1:17">
      <c r="A63" s="3" t="str">
        <f>Raw_Data!A63</f>
        <v>C0047</v>
      </c>
      <c r="B63" s="4">
        <f>Raw_Data!B63</f>
        <v>45662</v>
      </c>
      <c r="C63" s="3" t="str">
        <f>Raw_Data!C63</f>
        <v>Google Ads</v>
      </c>
      <c r="D63" s="3" t="str">
        <f>Raw_Data!D63</f>
        <v>West</v>
      </c>
      <c r="E63" s="5">
        <f>Raw_Data!E63</f>
        <v>5545.41</v>
      </c>
      <c r="F63" s="5">
        <f>Raw_Data!F63</f>
        <v>6053.01</v>
      </c>
      <c r="G63" s="3">
        <f>Raw_Data!G63</f>
        <v>175219</v>
      </c>
      <c r="H63" s="3">
        <f>Raw_Data!H63</f>
        <v>4802</v>
      </c>
      <c r="I63" s="3">
        <f>Raw_Data!I63</f>
        <v>292</v>
      </c>
      <c r="J63" s="5">
        <f>Raw_Data!J63</f>
        <v>14271.04</v>
      </c>
      <c r="K63" s="6">
        <f t="shared" si="0"/>
        <v>0.0274057037193455</v>
      </c>
      <c r="L63" s="5">
        <f t="shared" si="1"/>
        <v>1.26051853394419</v>
      </c>
      <c r="M63" s="5">
        <f t="shared" si="2"/>
        <v>20.7294863013699</v>
      </c>
      <c r="N63" s="7">
        <f t="shared" si="3"/>
        <v>2.35767659395904</v>
      </c>
      <c r="O63" s="5">
        <f t="shared" si="4"/>
        <v>8218.03</v>
      </c>
      <c r="P63" s="8">
        <f t="shared" si="5"/>
        <v>57.5853616835213</v>
      </c>
      <c r="Q63" s="3" t="str">
        <f t="shared" si="6"/>
        <v>2025-01</v>
      </c>
    </row>
    <row r="64" customHeight="1" spans="1:17">
      <c r="A64" s="3" t="str">
        <f>Raw_Data!A64</f>
        <v>C0091</v>
      </c>
      <c r="B64" s="4">
        <f>Raw_Data!B64</f>
        <v>45662</v>
      </c>
      <c r="C64" s="3" t="str">
        <f>Raw_Data!C64</f>
        <v>LinkedIn</v>
      </c>
      <c r="D64" s="3" t="str">
        <f>Raw_Data!D64</f>
        <v>North</v>
      </c>
      <c r="E64" s="5">
        <f>Raw_Data!E64</f>
        <v>8665.53</v>
      </c>
      <c r="F64" s="5">
        <f>Raw_Data!F64</f>
        <v>9038.44</v>
      </c>
      <c r="G64" s="3">
        <f>Raw_Data!G64</f>
        <v>126153</v>
      </c>
      <c r="H64" s="3">
        <f>Raw_Data!H64</f>
        <v>6045</v>
      </c>
      <c r="I64" s="3">
        <f>Raw_Data!I64</f>
        <v>748</v>
      </c>
      <c r="J64" s="5">
        <f>Raw_Data!J64</f>
        <v>34417.1</v>
      </c>
      <c r="K64" s="6">
        <f t="shared" si="0"/>
        <v>0.0479180043280778</v>
      </c>
      <c r="L64" s="5">
        <f t="shared" si="1"/>
        <v>1.49519272125724</v>
      </c>
      <c r="M64" s="5">
        <f t="shared" si="2"/>
        <v>12.0834759358289</v>
      </c>
      <c r="N64" s="7">
        <f t="shared" si="3"/>
        <v>3.80785843574776</v>
      </c>
      <c r="O64" s="5">
        <f t="shared" si="4"/>
        <v>25378.66</v>
      </c>
      <c r="P64" s="8">
        <f t="shared" si="5"/>
        <v>73.7385195150085</v>
      </c>
      <c r="Q64" s="3" t="str">
        <f t="shared" si="6"/>
        <v>2025-01</v>
      </c>
    </row>
    <row r="65" customHeight="1" spans="1:17">
      <c r="A65" s="3" t="str">
        <f>Raw_Data!A65</f>
        <v>C0153</v>
      </c>
      <c r="B65" s="4">
        <f>Raw_Data!B65</f>
        <v>45663</v>
      </c>
      <c r="C65" s="3" t="str">
        <f>Raw_Data!C65</f>
        <v>Instagram</v>
      </c>
      <c r="D65" s="3" t="str">
        <f>Raw_Data!D65</f>
        <v>North</v>
      </c>
      <c r="E65" s="5">
        <f>Raw_Data!E65</f>
        <v>3079.48</v>
      </c>
      <c r="F65" s="5">
        <f>Raw_Data!F65</f>
        <v>2896.55</v>
      </c>
      <c r="G65" s="3">
        <f>Raw_Data!G65</f>
        <v>70782</v>
      </c>
      <c r="H65" s="3">
        <f>Raw_Data!H65</f>
        <v>3197</v>
      </c>
      <c r="I65" s="3">
        <f>Raw_Data!I65</f>
        <v>540</v>
      </c>
      <c r="J65" s="5">
        <f>Raw_Data!J65</f>
        <v>11712.11</v>
      </c>
      <c r="K65" s="6">
        <f t="shared" si="0"/>
        <v>0.0451668503291797</v>
      </c>
      <c r="L65" s="5">
        <f t="shared" si="1"/>
        <v>0.906021269940569</v>
      </c>
      <c r="M65" s="5">
        <f t="shared" si="2"/>
        <v>5.36398148148148</v>
      </c>
      <c r="N65" s="7">
        <f t="shared" si="3"/>
        <v>4.04346895444581</v>
      </c>
      <c r="O65" s="5">
        <f t="shared" si="4"/>
        <v>8815.56</v>
      </c>
      <c r="P65" s="8">
        <f t="shared" si="5"/>
        <v>75.2687602831599</v>
      </c>
      <c r="Q65" s="3" t="str">
        <f t="shared" si="6"/>
        <v>2025-01</v>
      </c>
    </row>
    <row r="66" customHeight="1" spans="1:17">
      <c r="A66" s="3" t="str">
        <f>Raw_Data!A66</f>
        <v>C0318</v>
      </c>
      <c r="B66" s="4">
        <f>Raw_Data!B66</f>
        <v>45663</v>
      </c>
      <c r="C66" s="3" t="str">
        <f>Raw_Data!C66</f>
        <v>Instagram</v>
      </c>
      <c r="D66" s="3" t="str">
        <f>Raw_Data!D66</f>
        <v>South</v>
      </c>
      <c r="E66" s="5">
        <f>Raw_Data!E66</f>
        <v>7655.26</v>
      </c>
      <c r="F66" s="5">
        <f>Raw_Data!F66</f>
        <v>6526.96</v>
      </c>
      <c r="G66" s="3">
        <f>Raw_Data!G66</f>
        <v>95395</v>
      </c>
      <c r="H66" s="3">
        <f>Raw_Data!H66</f>
        <v>4443</v>
      </c>
      <c r="I66" s="3">
        <f>Raw_Data!I66</f>
        <v>353</v>
      </c>
      <c r="J66" s="5">
        <f>Raw_Data!J66</f>
        <v>16743.62</v>
      </c>
      <c r="K66" s="6">
        <f t="shared" ref="K66:K129" si="7">IFERROR(H66/G66,0)</f>
        <v>0.0465747680696053</v>
      </c>
      <c r="L66" s="5">
        <f t="shared" ref="L66:L129" si="8">IFERROR(F66/H66,0)</f>
        <v>1.46904343911771</v>
      </c>
      <c r="M66" s="5">
        <f t="shared" ref="M66:M129" si="9">IFERROR(F66/I66,0)</f>
        <v>18.4899716713881</v>
      </c>
      <c r="N66" s="7">
        <f t="shared" ref="N66:N129" si="10">IFERROR(J66/F66,0)</f>
        <v>2.56530145734002</v>
      </c>
      <c r="O66" s="5">
        <f t="shared" ref="O66:O129" si="11">J66-F66</f>
        <v>10216.66</v>
      </c>
      <c r="P66" s="8">
        <f t="shared" ref="P66:P129" si="12">IFERROR(O66/J66*100,0)</f>
        <v>61.0182266439396</v>
      </c>
      <c r="Q66" s="3" t="str">
        <f t="shared" ref="Q66:Q129" si="13">TEXT(B66,"YYYY-MM")</f>
        <v>2025-01</v>
      </c>
    </row>
    <row r="67" customHeight="1" spans="1:17">
      <c r="A67" s="3" t="str">
        <f>Raw_Data!A67</f>
        <v>C0276</v>
      </c>
      <c r="B67" s="4">
        <f>Raw_Data!B67</f>
        <v>45663</v>
      </c>
      <c r="C67" s="3" t="str">
        <f>Raw_Data!C67</f>
        <v>Twitter</v>
      </c>
      <c r="D67" s="3" t="str">
        <f>Raw_Data!D67</f>
        <v>West</v>
      </c>
      <c r="E67" s="5">
        <f>Raw_Data!E67</f>
        <v>9438.99</v>
      </c>
      <c r="F67" s="5">
        <f>Raw_Data!F67</f>
        <v>8531.94</v>
      </c>
      <c r="G67" s="3">
        <f>Raw_Data!G67</f>
        <v>178702</v>
      </c>
      <c r="H67" s="3">
        <f>Raw_Data!H67</f>
        <v>4580</v>
      </c>
      <c r="I67" s="3">
        <f>Raw_Data!I67</f>
        <v>285</v>
      </c>
      <c r="J67" s="5">
        <f>Raw_Data!J67</f>
        <v>8666.45</v>
      </c>
      <c r="K67" s="6">
        <f t="shared" si="7"/>
        <v>0.025629259885172</v>
      </c>
      <c r="L67" s="5">
        <f t="shared" si="8"/>
        <v>1.86286899563319</v>
      </c>
      <c r="M67" s="5">
        <f t="shared" si="9"/>
        <v>29.9366315789474</v>
      </c>
      <c r="N67" s="7">
        <f t="shared" si="10"/>
        <v>1.0157654648298</v>
      </c>
      <c r="O67" s="5">
        <f t="shared" si="11"/>
        <v>134.51</v>
      </c>
      <c r="P67" s="8">
        <f t="shared" si="12"/>
        <v>1.55207726347005</v>
      </c>
      <c r="Q67" s="3" t="str">
        <f t="shared" si="13"/>
        <v>2025-01</v>
      </c>
    </row>
    <row r="68" customHeight="1" spans="1:17">
      <c r="A68" s="3" t="str">
        <f>Raw_Data!A68</f>
        <v>C0353</v>
      </c>
      <c r="B68" s="4">
        <f>Raw_Data!B68</f>
        <v>45663</v>
      </c>
      <c r="C68" s="3" t="str">
        <f>Raw_Data!C68</f>
        <v>Google Ads</v>
      </c>
      <c r="D68" s="3" t="str">
        <f>Raw_Data!D68</f>
        <v>North</v>
      </c>
      <c r="E68" s="5">
        <f>Raw_Data!E68</f>
        <v>8370.32</v>
      </c>
      <c r="F68" s="5">
        <f>Raw_Data!F68</f>
        <v>7705.54</v>
      </c>
      <c r="G68" s="3">
        <f>Raw_Data!G68</f>
        <v>170434</v>
      </c>
      <c r="H68" s="3">
        <f>Raw_Data!H68</f>
        <v>6373</v>
      </c>
      <c r="I68" s="3">
        <f>Raw_Data!I68</f>
        <v>533</v>
      </c>
      <c r="J68" s="5">
        <f>Raw_Data!J68</f>
        <v>18333.21</v>
      </c>
      <c r="K68" s="6">
        <f t="shared" si="7"/>
        <v>0.0373927737423284</v>
      </c>
      <c r="L68" s="5">
        <f t="shared" si="8"/>
        <v>1.2090914796799</v>
      </c>
      <c r="M68" s="5">
        <f t="shared" si="9"/>
        <v>14.4569230769231</v>
      </c>
      <c r="N68" s="7">
        <f t="shared" si="10"/>
        <v>2.37922455791547</v>
      </c>
      <c r="O68" s="5">
        <f t="shared" si="11"/>
        <v>10627.67</v>
      </c>
      <c r="P68" s="8">
        <f t="shared" si="12"/>
        <v>57.9694990675392</v>
      </c>
      <c r="Q68" s="3" t="str">
        <f t="shared" si="13"/>
        <v>2025-01</v>
      </c>
    </row>
    <row r="69" customHeight="1" spans="1:17">
      <c r="A69" s="3" t="str">
        <f>Raw_Data!A69</f>
        <v>C0340</v>
      </c>
      <c r="B69" s="4">
        <f>Raw_Data!B69</f>
        <v>45664</v>
      </c>
      <c r="C69" s="3" t="str">
        <f>Raw_Data!C69</f>
        <v>LinkedIn</v>
      </c>
      <c r="D69" s="3" t="str">
        <f>Raw_Data!D69</f>
        <v>South</v>
      </c>
      <c r="E69" s="5">
        <f>Raw_Data!E69</f>
        <v>6975.62</v>
      </c>
      <c r="F69" s="5">
        <f>Raw_Data!F69</f>
        <v>7496.33</v>
      </c>
      <c r="G69" s="3">
        <f>Raw_Data!G69</f>
        <v>158533</v>
      </c>
      <c r="H69" s="3">
        <f>Raw_Data!H69</f>
        <v>6076</v>
      </c>
      <c r="I69" s="3">
        <f>Raw_Data!I69</f>
        <v>478</v>
      </c>
      <c r="J69" s="5">
        <f>Raw_Data!J69</f>
        <v>10046.79</v>
      </c>
      <c r="K69" s="6">
        <f t="shared" si="7"/>
        <v>0.0383264052279336</v>
      </c>
      <c r="L69" s="5">
        <f t="shared" si="8"/>
        <v>1.23376069782752</v>
      </c>
      <c r="M69" s="5">
        <f t="shared" si="9"/>
        <v>15.6826987447699</v>
      </c>
      <c r="N69" s="7">
        <f t="shared" si="10"/>
        <v>1.34022781814568</v>
      </c>
      <c r="O69" s="5">
        <f t="shared" si="11"/>
        <v>2550.46</v>
      </c>
      <c r="P69" s="8">
        <f t="shared" si="12"/>
        <v>25.3858197493926</v>
      </c>
      <c r="Q69" s="3" t="str">
        <f t="shared" si="13"/>
        <v>2025-01</v>
      </c>
    </row>
    <row r="70" customHeight="1" spans="1:17">
      <c r="A70" s="3" t="str">
        <f>Raw_Data!A70</f>
        <v>C0291</v>
      </c>
      <c r="B70" s="4">
        <f>Raw_Data!B70</f>
        <v>45665</v>
      </c>
      <c r="C70" s="3" t="str">
        <f>Raw_Data!C70</f>
        <v>Twitter</v>
      </c>
      <c r="D70" s="3" t="str">
        <f>Raw_Data!D70</f>
        <v>South</v>
      </c>
      <c r="E70" s="5">
        <f>Raw_Data!E70</f>
        <v>5613.17</v>
      </c>
      <c r="F70" s="5">
        <f>Raw_Data!F70</f>
        <v>4946.46</v>
      </c>
      <c r="G70" s="3">
        <f>Raw_Data!G70</f>
        <v>112356</v>
      </c>
      <c r="H70" s="3">
        <f>Raw_Data!H70</f>
        <v>4894</v>
      </c>
      <c r="I70" s="3">
        <f>Raw_Data!I70</f>
        <v>191</v>
      </c>
      <c r="J70" s="5">
        <f>Raw_Data!J70</f>
        <v>7510.12</v>
      </c>
      <c r="K70" s="6">
        <f t="shared" si="7"/>
        <v>0.0435579764320553</v>
      </c>
      <c r="L70" s="5">
        <f t="shared" si="8"/>
        <v>1.01071924805885</v>
      </c>
      <c r="M70" s="5">
        <f t="shared" si="9"/>
        <v>25.8976963350785</v>
      </c>
      <c r="N70" s="7">
        <f t="shared" si="10"/>
        <v>1.51828176109784</v>
      </c>
      <c r="O70" s="5">
        <f t="shared" si="11"/>
        <v>2563.66</v>
      </c>
      <c r="P70" s="8">
        <f t="shared" si="12"/>
        <v>34.1360723929844</v>
      </c>
      <c r="Q70" s="3" t="str">
        <f t="shared" si="13"/>
        <v>2025-01</v>
      </c>
    </row>
    <row r="71" customHeight="1" spans="1:17">
      <c r="A71" s="3" t="str">
        <f>Raw_Data!A71</f>
        <v>C0184</v>
      </c>
      <c r="B71" s="4">
        <f>Raw_Data!B71</f>
        <v>45665</v>
      </c>
      <c r="C71" s="3" t="str">
        <f>Raw_Data!C71</f>
        <v>Twitter</v>
      </c>
      <c r="D71" s="3" t="str">
        <f>Raw_Data!D71</f>
        <v>North</v>
      </c>
      <c r="E71" s="5">
        <f>Raw_Data!E71</f>
        <v>8406.23</v>
      </c>
      <c r="F71" s="5">
        <f>Raw_Data!F71</f>
        <v>8036.77</v>
      </c>
      <c r="G71" s="3">
        <f>Raw_Data!G71</f>
        <v>133482</v>
      </c>
      <c r="H71" s="3">
        <f>Raw_Data!H71</f>
        <v>2397</v>
      </c>
      <c r="I71" s="3">
        <f>Raw_Data!I71</f>
        <v>50</v>
      </c>
      <c r="J71" s="5">
        <f>Raw_Data!J71</f>
        <v>2278.27</v>
      </c>
      <c r="K71" s="6">
        <f t="shared" si="7"/>
        <v>0.0179574774126849</v>
      </c>
      <c r="L71" s="5">
        <f t="shared" si="8"/>
        <v>3.35284522319566</v>
      </c>
      <c r="M71" s="5">
        <f t="shared" si="9"/>
        <v>160.7354</v>
      </c>
      <c r="N71" s="7">
        <f t="shared" si="10"/>
        <v>0.283480801366718</v>
      </c>
      <c r="O71" s="5">
        <f t="shared" si="11"/>
        <v>-5758.5</v>
      </c>
      <c r="P71" s="8">
        <f t="shared" si="12"/>
        <v>-252.757574826513</v>
      </c>
      <c r="Q71" s="3" t="str">
        <f t="shared" si="13"/>
        <v>2025-01</v>
      </c>
    </row>
    <row r="72" customHeight="1" spans="1:17">
      <c r="A72" s="3" t="str">
        <f>Raw_Data!A72</f>
        <v>C0468</v>
      </c>
      <c r="B72" s="4">
        <f>Raw_Data!B72</f>
        <v>45666</v>
      </c>
      <c r="C72" s="3" t="str">
        <f>Raw_Data!C72</f>
        <v>LinkedIn</v>
      </c>
      <c r="D72" s="3" t="str">
        <f>Raw_Data!D72</f>
        <v>North</v>
      </c>
      <c r="E72" s="5">
        <f>Raw_Data!E72</f>
        <v>4173.33</v>
      </c>
      <c r="F72" s="5">
        <f>Raw_Data!F72</f>
        <v>3384.58</v>
      </c>
      <c r="G72" s="3">
        <f>Raw_Data!G72</f>
        <v>197974</v>
      </c>
      <c r="H72" s="3">
        <f>Raw_Data!H72</f>
        <v>4601</v>
      </c>
      <c r="I72" s="3">
        <f>Raw_Data!I72</f>
        <v>675</v>
      </c>
      <c r="J72" s="5">
        <f>Raw_Data!J72</f>
        <v>28412.14</v>
      </c>
      <c r="K72" s="6">
        <f t="shared" si="7"/>
        <v>0.0232404255104206</v>
      </c>
      <c r="L72" s="5">
        <f t="shared" si="8"/>
        <v>0.735618343838296</v>
      </c>
      <c r="M72" s="5">
        <f t="shared" si="9"/>
        <v>5.01419259259259</v>
      </c>
      <c r="N72" s="7">
        <f t="shared" si="10"/>
        <v>8.39458367064747</v>
      </c>
      <c r="O72" s="5">
        <f t="shared" si="11"/>
        <v>25027.56</v>
      </c>
      <c r="P72" s="8">
        <f t="shared" si="12"/>
        <v>88.0875569386889</v>
      </c>
      <c r="Q72" s="3" t="str">
        <f t="shared" si="13"/>
        <v>2025-01</v>
      </c>
    </row>
    <row r="73" customHeight="1" spans="1:17">
      <c r="A73" s="3" t="str">
        <f>Raw_Data!A73</f>
        <v>C0441</v>
      </c>
      <c r="B73" s="4">
        <f>Raw_Data!B73</f>
        <v>45667</v>
      </c>
      <c r="C73" s="3" t="str">
        <f>Raw_Data!C73</f>
        <v>LinkedIn</v>
      </c>
      <c r="D73" s="3" t="str">
        <f>Raw_Data!D73</f>
        <v>East</v>
      </c>
      <c r="E73" s="5">
        <f>Raw_Data!E73</f>
        <v>4729.72</v>
      </c>
      <c r="F73" s="5">
        <f>Raw_Data!F73</f>
        <v>4010.16</v>
      </c>
      <c r="G73" s="3">
        <f>Raw_Data!G73</f>
        <v>84930</v>
      </c>
      <c r="H73" s="3">
        <f>Raw_Data!H73</f>
        <v>1915</v>
      </c>
      <c r="I73" s="3">
        <f>Raw_Data!I73</f>
        <v>303</v>
      </c>
      <c r="J73" s="5">
        <f>Raw_Data!J73</f>
        <v>13984.51</v>
      </c>
      <c r="K73" s="6">
        <f t="shared" si="7"/>
        <v>0.02254798068998</v>
      </c>
      <c r="L73" s="5">
        <f t="shared" si="8"/>
        <v>2.09407832898172</v>
      </c>
      <c r="M73" s="5">
        <f t="shared" si="9"/>
        <v>13.2348514851485</v>
      </c>
      <c r="N73" s="7">
        <f t="shared" si="10"/>
        <v>3.48726983462006</v>
      </c>
      <c r="O73" s="5">
        <f t="shared" si="11"/>
        <v>9974.35</v>
      </c>
      <c r="P73" s="8">
        <f t="shared" si="12"/>
        <v>71.3242723556278</v>
      </c>
      <c r="Q73" s="3" t="str">
        <f t="shared" si="13"/>
        <v>2025-01</v>
      </c>
    </row>
    <row r="74" customHeight="1" spans="1:17">
      <c r="A74" s="3" t="str">
        <f>Raw_Data!A74</f>
        <v>C0116</v>
      </c>
      <c r="B74" s="4">
        <f>Raw_Data!B74</f>
        <v>45667</v>
      </c>
      <c r="C74" s="3" t="str">
        <f>Raw_Data!C74</f>
        <v>Twitter</v>
      </c>
      <c r="D74" s="3" t="str">
        <f>Raw_Data!D74</f>
        <v>West</v>
      </c>
      <c r="E74" s="5">
        <f>Raw_Data!E74</f>
        <v>7310.95</v>
      </c>
      <c r="F74" s="5">
        <f>Raw_Data!F74</f>
        <v>7241.7</v>
      </c>
      <c r="G74" s="3">
        <f>Raw_Data!G74</f>
        <v>196304</v>
      </c>
      <c r="H74" s="3">
        <f>Raw_Data!H74</f>
        <v>8710</v>
      </c>
      <c r="I74" s="3">
        <f>Raw_Data!I74</f>
        <v>965</v>
      </c>
      <c r="J74" s="5">
        <f>Raw_Data!J74</f>
        <v>20611.55</v>
      </c>
      <c r="K74" s="6">
        <f t="shared" si="7"/>
        <v>0.0443699568016953</v>
      </c>
      <c r="L74" s="5">
        <f t="shared" si="8"/>
        <v>0.83142365097589</v>
      </c>
      <c r="M74" s="5">
        <f t="shared" si="9"/>
        <v>7.50435233160622</v>
      </c>
      <c r="N74" s="7">
        <f t="shared" si="10"/>
        <v>2.84623085739536</v>
      </c>
      <c r="O74" s="5">
        <f t="shared" si="11"/>
        <v>13369.85</v>
      </c>
      <c r="P74" s="8">
        <f t="shared" si="12"/>
        <v>64.865815525761</v>
      </c>
      <c r="Q74" s="3" t="str">
        <f t="shared" si="13"/>
        <v>2025-01</v>
      </c>
    </row>
    <row r="75" customHeight="1" spans="1:17">
      <c r="A75" s="3" t="str">
        <f>Raw_Data!A75</f>
        <v>C0496</v>
      </c>
      <c r="B75" s="4">
        <f>Raw_Data!B75</f>
        <v>45667</v>
      </c>
      <c r="C75" s="3" t="str">
        <f>Raw_Data!C75</f>
        <v>LinkedIn</v>
      </c>
      <c r="D75" s="3" t="str">
        <f>Raw_Data!D75</f>
        <v>West</v>
      </c>
      <c r="E75" s="5">
        <f>Raw_Data!E75</f>
        <v>5565.23</v>
      </c>
      <c r="F75" s="5">
        <f>Raw_Data!F75</f>
        <v>5113.62</v>
      </c>
      <c r="G75" s="3">
        <f>Raw_Data!G75</f>
        <v>67169</v>
      </c>
      <c r="H75" s="3">
        <f>Raw_Data!H75</f>
        <v>1577</v>
      </c>
      <c r="I75" s="3">
        <f>Raw_Data!I75</f>
        <v>305</v>
      </c>
      <c r="J75" s="5">
        <f>Raw_Data!J75</f>
        <v>12463.52</v>
      </c>
      <c r="K75" s="6">
        <f t="shared" si="7"/>
        <v>0.0234780925724665</v>
      </c>
      <c r="L75" s="5">
        <f t="shared" si="8"/>
        <v>3.24262523779328</v>
      </c>
      <c r="M75" s="5">
        <f t="shared" si="9"/>
        <v>16.7659672131148</v>
      </c>
      <c r="N75" s="7">
        <f t="shared" si="10"/>
        <v>2.43731837719658</v>
      </c>
      <c r="O75" s="5">
        <f t="shared" si="11"/>
        <v>7349.9</v>
      </c>
      <c r="P75" s="8">
        <f t="shared" si="12"/>
        <v>58.9713018473112</v>
      </c>
      <c r="Q75" s="3" t="str">
        <f t="shared" si="13"/>
        <v>2025-01</v>
      </c>
    </row>
    <row r="76" customHeight="1" spans="1:17">
      <c r="A76" s="3" t="str">
        <f>Raw_Data!A76</f>
        <v>C0053</v>
      </c>
      <c r="B76" s="4">
        <f>Raw_Data!B76</f>
        <v>45667</v>
      </c>
      <c r="C76" s="3" t="str">
        <f>Raw_Data!C76</f>
        <v>Facebook</v>
      </c>
      <c r="D76" s="3" t="str">
        <f>Raw_Data!D76</f>
        <v>South</v>
      </c>
      <c r="E76" s="5">
        <f>Raw_Data!E76</f>
        <v>7704.95</v>
      </c>
      <c r="F76" s="5">
        <f>Raw_Data!F76</f>
        <v>7924.43</v>
      </c>
      <c r="G76" s="3">
        <f>Raw_Data!G76</f>
        <v>77537</v>
      </c>
      <c r="H76" s="3">
        <f>Raw_Data!H76</f>
        <v>3060</v>
      </c>
      <c r="I76" s="3">
        <f>Raw_Data!I76</f>
        <v>221</v>
      </c>
      <c r="J76" s="5">
        <f>Raw_Data!J76</f>
        <v>5995.54</v>
      </c>
      <c r="K76" s="6">
        <f t="shared" si="7"/>
        <v>0.0394650295987722</v>
      </c>
      <c r="L76" s="5">
        <f t="shared" si="8"/>
        <v>2.58968300653595</v>
      </c>
      <c r="M76" s="5">
        <f t="shared" si="9"/>
        <v>35.857149321267</v>
      </c>
      <c r="N76" s="7">
        <f t="shared" si="10"/>
        <v>0.756589432930823</v>
      </c>
      <c r="O76" s="5">
        <f t="shared" si="11"/>
        <v>-1928.89</v>
      </c>
      <c r="P76" s="8">
        <f t="shared" si="12"/>
        <v>-32.1720812470603</v>
      </c>
      <c r="Q76" s="3" t="str">
        <f t="shared" si="13"/>
        <v>2025-01</v>
      </c>
    </row>
    <row r="77" customHeight="1" spans="1:17">
      <c r="A77" s="3" t="str">
        <f>Raw_Data!A77</f>
        <v>C0165</v>
      </c>
      <c r="B77" s="4">
        <f>Raw_Data!B77</f>
        <v>45667</v>
      </c>
      <c r="C77" s="3" t="str">
        <f>Raw_Data!C77</f>
        <v>Google Ads</v>
      </c>
      <c r="D77" s="3" t="str">
        <f>Raw_Data!D77</f>
        <v>North</v>
      </c>
      <c r="E77" s="5">
        <f>Raw_Data!E77</f>
        <v>4941.67</v>
      </c>
      <c r="F77" s="5">
        <f>Raw_Data!F77</f>
        <v>4232.23</v>
      </c>
      <c r="G77" s="3">
        <f>Raw_Data!G77</f>
        <v>197753</v>
      </c>
      <c r="H77" s="3">
        <f>Raw_Data!H77</f>
        <v>3883</v>
      </c>
      <c r="I77" s="3">
        <f>Raw_Data!I77</f>
        <v>619</v>
      </c>
      <c r="J77" s="5">
        <f>Raw_Data!J77</f>
        <v>20990.88</v>
      </c>
      <c r="K77" s="6">
        <f t="shared" si="7"/>
        <v>0.0196356060337896</v>
      </c>
      <c r="L77" s="5">
        <f t="shared" si="8"/>
        <v>1.0899381921195</v>
      </c>
      <c r="M77" s="5">
        <f t="shared" si="9"/>
        <v>6.83720516962843</v>
      </c>
      <c r="N77" s="7">
        <f t="shared" si="10"/>
        <v>4.95976825456084</v>
      </c>
      <c r="O77" s="5">
        <f t="shared" si="11"/>
        <v>16758.65</v>
      </c>
      <c r="P77" s="8">
        <f t="shared" si="12"/>
        <v>79.8377676400418</v>
      </c>
      <c r="Q77" s="3" t="str">
        <f t="shared" si="13"/>
        <v>2025-01</v>
      </c>
    </row>
    <row r="78" customHeight="1" spans="1:17">
      <c r="A78" s="3" t="str">
        <f>Raw_Data!A78</f>
        <v>C0388</v>
      </c>
      <c r="B78" s="4">
        <f>Raw_Data!B78</f>
        <v>45667</v>
      </c>
      <c r="C78" s="3" t="str">
        <f>Raw_Data!C78</f>
        <v>Twitter</v>
      </c>
      <c r="D78" s="3" t="str">
        <f>Raw_Data!D78</f>
        <v>West</v>
      </c>
      <c r="E78" s="5">
        <f>Raw_Data!E78</f>
        <v>3902.09</v>
      </c>
      <c r="F78" s="5">
        <f>Raw_Data!F78</f>
        <v>3513.97</v>
      </c>
      <c r="G78" s="3">
        <f>Raw_Data!G78</f>
        <v>197025</v>
      </c>
      <c r="H78" s="3">
        <f>Raw_Data!H78</f>
        <v>6420</v>
      </c>
      <c r="I78" s="3">
        <f>Raw_Data!I78</f>
        <v>253</v>
      </c>
      <c r="J78" s="5">
        <f>Raw_Data!J78</f>
        <v>10703.23</v>
      </c>
      <c r="K78" s="6">
        <f t="shared" si="7"/>
        <v>0.0325846973734298</v>
      </c>
      <c r="L78" s="5">
        <f t="shared" si="8"/>
        <v>0.547347352024922</v>
      </c>
      <c r="M78" s="5">
        <f t="shared" si="9"/>
        <v>13.889209486166</v>
      </c>
      <c r="N78" s="7">
        <f t="shared" si="10"/>
        <v>3.04590818931294</v>
      </c>
      <c r="O78" s="5">
        <f t="shared" si="11"/>
        <v>7189.26</v>
      </c>
      <c r="P78" s="8">
        <f t="shared" si="12"/>
        <v>67.1690695238727</v>
      </c>
      <c r="Q78" s="3" t="str">
        <f t="shared" si="13"/>
        <v>2025-01</v>
      </c>
    </row>
    <row r="79" customHeight="1" spans="1:17">
      <c r="A79" s="3" t="str">
        <f>Raw_Data!A79</f>
        <v>C0102</v>
      </c>
      <c r="B79" s="4">
        <f>Raw_Data!B79</f>
        <v>45668</v>
      </c>
      <c r="C79" s="3" t="str">
        <f>Raw_Data!C79</f>
        <v>LinkedIn</v>
      </c>
      <c r="D79" s="3" t="str">
        <f>Raw_Data!D79</f>
        <v>North</v>
      </c>
      <c r="E79" s="5">
        <f>Raw_Data!E79</f>
        <v>7462.01</v>
      </c>
      <c r="F79" s="5">
        <f>Raw_Data!F79</f>
        <v>7595.04</v>
      </c>
      <c r="G79" s="3">
        <f>Raw_Data!G79</f>
        <v>189630</v>
      </c>
      <c r="H79" s="3">
        <f>Raw_Data!H79</f>
        <v>2389</v>
      </c>
      <c r="I79" s="3">
        <f>Raw_Data!I79</f>
        <v>268</v>
      </c>
      <c r="J79" s="5">
        <f>Raw_Data!J79</f>
        <v>13205.85</v>
      </c>
      <c r="K79" s="6">
        <f t="shared" si="7"/>
        <v>0.0125982175816063</v>
      </c>
      <c r="L79" s="5">
        <f t="shared" si="8"/>
        <v>3.17917120133947</v>
      </c>
      <c r="M79" s="5">
        <f t="shared" si="9"/>
        <v>28.3397014925373</v>
      </c>
      <c r="N79" s="7">
        <f t="shared" si="10"/>
        <v>1.7387466030462</v>
      </c>
      <c r="O79" s="5">
        <f t="shared" si="11"/>
        <v>5610.81</v>
      </c>
      <c r="P79" s="8">
        <f t="shared" si="12"/>
        <v>42.487306761776</v>
      </c>
      <c r="Q79" s="3" t="str">
        <f t="shared" si="13"/>
        <v>2025-01</v>
      </c>
    </row>
    <row r="80" customHeight="1" spans="1:17">
      <c r="A80" s="3" t="str">
        <f>Raw_Data!A80</f>
        <v>C0277</v>
      </c>
      <c r="B80" s="4">
        <f>Raw_Data!B80</f>
        <v>45668</v>
      </c>
      <c r="C80" s="3" t="str">
        <f>Raw_Data!C80</f>
        <v>Instagram</v>
      </c>
      <c r="D80" s="3" t="str">
        <f>Raw_Data!D80</f>
        <v>West</v>
      </c>
      <c r="E80" s="5">
        <f>Raw_Data!E80</f>
        <v>8162.51</v>
      </c>
      <c r="F80" s="5">
        <f>Raw_Data!F80</f>
        <v>7637.38</v>
      </c>
      <c r="G80" s="3">
        <f>Raw_Data!G80</f>
        <v>70461</v>
      </c>
      <c r="H80" s="3">
        <f>Raw_Data!H80</f>
        <v>2962</v>
      </c>
      <c r="I80" s="3">
        <f>Raw_Data!I80</f>
        <v>302</v>
      </c>
      <c r="J80" s="5">
        <f>Raw_Data!J80</f>
        <v>8074.92</v>
      </c>
      <c r="K80" s="6">
        <f t="shared" si="7"/>
        <v>0.0420374391507359</v>
      </c>
      <c r="L80" s="5">
        <f t="shared" si="8"/>
        <v>2.57845374746793</v>
      </c>
      <c r="M80" s="5">
        <f t="shared" si="9"/>
        <v>25.2893377483444</v>
      </c>
      <c r="N80" s="7">
        <f t="shared" si="10"/>
        <v>1.05728927983157</v>
      </c>
      <c r="O80" s="5">
        <f t="shared" si="11"/>
        <v>437.54</v>
      </c>
      <c r="P80" s="8">
        <f t="shared" si="12"/>
        <v>5.41850569417406</v>
      </c>
      <c r="Q80" s="3" t="str">
        <f t="shared" si="13"/>
        <v>2025-01</v>
      </c>
    </row>
    <row r="81" customHeight="1" spans="1:17">
      <c r="A81" s="3" t="str">
        <f>Raw_Data!A81</f>
        <v>C0098</v>
      </c>
      <c r="B81" s="4">
        <f>Raw_Data!B81</f>
        <v>45668</v>
      </c>
      <c r="C81" s="3" t="str">
        <f>Raw_Data!C81</f>
        <v>Facebook</v>
      </c>
      <c r="D81" s="3" t="str">
        <f>Raw_Data!D81</f>
        <v>West</v>
      </c>
      <c r="E81" s="5">
        <f>Raw_Data!E81</f>
        <v>3261.44</v>
      </c>
      <c r="F81" s="5">
        <f>Raw_Data!F81</f>
        <v>3414.01</v>
      </c>
      <c r="G81" s="3">
        <f>Raw_Data!G81</f>
        <v>121100</v>
      </c>
      <c r="H81" s="3">
        <f>Raw_Data!H81</f>
        <v>4154</v>
      </c>
      <c r="I81" s="3">
        <f>Raw_Data!I81</f>
        <v>712</v>
      </c>
      <c r="J81" s="5">
        <f>Raw_Data!J81</f>
        <v>21933.67</v>
      </c>
      <c r="K81" s="6">
        <f t="shared" si="7"/>
        <v>0.0343022295623452</v>
      </c>
      <c r="L81" s="5">
        <f t="shared" si="8"/>
        <v>0.821860857005296</v>
      </c>
      <c r="M81" s="5">
        <f t="shared" si="9"/>
        <v>4.79495786516854</v>
      </c>
      <c r="N81" s="7">
        <f t="shared" si="10"/>
        <v>6.42460625481472</v>
      </c>
      <c r="O81" s="5">
        <f t="shared" si="11"/>
        <v>18519.66</v>
      </c>
      <c r="P81" s="8">
        <f t="shared" si="12"/>
        <v>84.4348437812733</v>
      </c>
      <c r="Q81" s="3" t="str">
        <f t="shared" si="13"/>
        <v>2025-01</v>
      </c>
    </row>
    <row r="82" customHeight="1" spans="1:17">
      <c r="A82" s="3" t="str">
        <f>Raw_Data!A82</f>
        <v>C0155</v>
      </c>
      <c r="B82" s="4">
        <f>Raw_Data!B82</f>
        <v>45668</v>
      </c>
      <c r="C82" s="3" t="str">
        <f>Raw_Data!C82</f>
        <v>Instagram</v>
      </c>
      <c r="D82" s="3" t="str">
        <f>Raw_Data!D82</f>
        <v>North</v>
      </c>
      <c r="E82" s="5">
        <f>Raw_Data!E82</f>
        <v>8222.31</v>
      </c>
      <c r="F82" s="5">
        <f>Raw_Data!F82</f>
        <v>8016.84</v>
      </c>
      <c r="G82" s="3">
        <f>Raw_Data!G82</f>
        <v>77085</v>
      </c>
      <c r="H82" s="3">
        <f>Raw_Data!H82</f>
        <v>2592</v>
      </c>
      <c r="I82" s="3">
        <f>Raw_Data!I82</f>
        <v>460</v>
      </c>
      <c r="J82" s="5">
        <f>Raw_Data!J82</f>
        <v>22477.98</v>
      </c>
      <c r="K82" s="6">
        <f t="shared" si="7"/>
        <v>0.0336252189141856</v>
      </c>
      <c r="L82" s="5">
        <f t="shared" si="8"/>
        <v>3.09291666666667</v>
      </c>
      <c r="M82" s="5">
        <f t="shared" si="9"/>
        <v>17.4279130434783</v>
      </c>
      <c r="N82" s="7">
        <f t="shared" si="10"/>
        <v>2.80384540542159</v>
      </c>
      <c r="O82" s="5">
        <f t="shared" si="11"/>
        <v>14461.14</v>
      </c>
      <c r="P82" s="8">
        <f t="shared" si="12"/>
        <v>64.3346955553835</v>
      </c>
      <c r="Q82" s="3" t="str">
        <f t="shared" si="13"/>
        <v>2025-01</v>
      </c>
    </row>
    <row r="83" customHeight="1" spans="1:17">
      <c r="A83" s="3" t="str">
        <f>Raw_Data!A83</f>
        <v>C0020</v>
      </c>
      <c r="B83" s="4">
        <f>Raw_Data!B83</f>
        <v>45669</v>
      </c>
      <c r="C83" s="3" t="str">
        <f>Raw_Data!C83</f>
        <v>Google Ads</v>
      </c>
      <c r="D83" s="3" t="str">
        <f>Raw_Data!D83</f>
        <v>North</v>
      </c>
      <c r="E83" s="5">
        <f>Raw_Data!E83</f>
        <v>4371.88</v>
      </c>
      <c r="F83" s="5">
        <f>Raw_Data!F83</f>
        <v>3556.82</v>
      </c>
      <c r="G83" s="3">
        <f>Raw_Data!G83</f>
        <v>134800</v>
      </c>
      <c r="H83" s="3">
        <f>Raw_Data!H83</f>
        <v>4917</v>
      </c>
      <c r="I83" s="3">
        <f>Raw_Data!I83</f>
        <v>128</v>
      </c>
      <c r="J83" s="5">
        <f>Raw_Data!J83</f>
        <v>3809.27</v>
      </c>
      <c r="K83" s="6">
        <f t="shared" si="7"/>
        <v>0.0364762611275964</v>
      </c>
      <c r="L83" s="5">
        <f t="shared" si="8"/>
        <v>0.723371974781371</v>
      </c>
      <c r="M83" s="5">
        <f t="shared" si="9"/>
        <v>27.78765625</v>
      </c>
      <c r="N83" s="7">
        <f t="shared" si="10"/>
        <v>1.07097632154565</v>
      </c>
      <c r="O83" s="5">
        <f t="shared" si="11"/>
        <v>252.45</v>
      </c>
      <c r="P83" s="8">
        <f t="shared" si="12"/>
        <v>6.62725404080046</v>
      </c>
      <c r="Q83" s="3" t="str">
        <f t="shared" si="13"/>
        <v>2025-01</v>
      </c>
    </row>
    <row r="84" customHeight="1" spans="1:17">
      <c r="A84" s="3" t="str">
        <f>Raw_Data!A84</f>
        <v>C0458</v>
      </c>
      <c r="B84" s="4">
        <f>Raw_Data!B84</f>
        <v>45670</v>
      </c>
      <c r="C84" s="3" t="str">
        <f>Raw_Data!C84</f>
        <v>Instagram</v>
      </c>
      <c r="D84" s="3" t="str">
        <f>Raw_Data!D84</f>
        <v>South</v>
      </c>
      <c r="E84" s="5">
        <f>Raw_Data!E84</f>
        <v>4266.84</v>
      </c>
      <c r="F84" s="5">
        <f>Raw_Data!F84</f>
        <v>4507.13</v>
      </c>
      <c r="G84" s="3">
        <f>Raw_Data!G84</f>
        <v>91032</v>
      </c>
      <c r="H84" s="3">
        <f>Raw_Data!H84</f>
        <v>3308</v>
      </c>
      <c r="I84" s="3">
        <f>Raw_Data!I84</f>
        <v>330</v>
      </c>
      <c r="J84" s="5">
        <f>Raw_Data!J84</f>
        <v>11473.55</v>
      </c>
      <c r="K84" s="6">
        <f t="shared" si="7"/>
        <v>0.0363388698479655</v>
      </c>
      <c r="L84" s="5">
        <f t="shared" si="8"/>
        <v>1.36249395405079</v>
      </c>
      <c r="M84" s="5">
        <f t="shared" si="9"/>
        <v>13.6579696969697</v>
      </c>
      <c r="N84" s="7">
        <f t="shared" si="10"/>
        <v>2.54564434573664</v>
      </c>
      <c r="O84" s="5">
        <f t="shared" si="11"/>
        <v>6966.42</v>
      </c>
      <c r="P84" s="8">
        <f t="shared" si="12"/>
        <v>60.7172148114577</v>
      </c>
      <c r="Q84" s="3" t="str">
        <f t="shared" si="13"/>
        <v>2025-01</v>
      </c>
    </row>
    <row r="85" customHeight="1" spans="1:17">
      <c r="A85" s="3" t="str">
        <f>Raw_Data!A85</f>
        <v>C0442</v>
      </c>
      <c r="B85" s="4">
        <f>Raw_Data!B85</f>
        <v>45671</v>
      </c>
      <c r="C85" s="3" t="str">
        <f>Raw_Data!C85</f>
        <v>Google Ads</v>
      </c>
      <c r="D85" s="3" t="str">
        <f>Raw_Data!D85</f>
        <v>East</v>
      </c>
      <c r="E85" s="5">
        <f>Raw_Data!E85</f>
        <v>4534.5</v>
      </c>
      <c r="F85" s="5">
        <f>Raw_Data!F85</f>
        <v>4955.12</v>
      </c>
      <c r="G85" s="3">
        <f>Raw_Data!G85</f>
        <v>120822</v>
      </c>
      <c r="H85" s="3">
        <f>Raw_Data!H85</f>
        <v>1992</v>
      </c>
      <c r="I85" s="3">
        <f>Raw_Data!I85</f>
        <v>277</v>
      </c>
      <c r="J85" s="5">
        <f>Raw_Data!J85</f>
        <v>8339.6</v>
      </c>
      <c r="K85" s="6">
        <f t="shared" si="7"/>
        <v>0.0164870636142424</v>
      </c>
      <c r="L85" s="5">
        <f t="shared" si="8"/>
        <v>2.48751004016064</v>
      </c>
      <c r="M85" s="5">
        <f t="shared" si="9"/>
        <v>17.8885198555957</v>
      </c>
      <c r="N85" s="7">
        <f t="shared" si="10"/>
        <v>1.68302684899659</v>
      </c>
      <c r="O85" s="5">
        <f t="shared" si="11"/>
        <v>3384.48</v>
      </c>
      <c r="P85" s="8">
        <f t="shared" si="12"/>
        <v>40.5832414024653</v>
      </c>
      <c r="Q85" s="3" t="str">
        <f t="shared" si="13"/>
        <v>2025-01</v>
      </c>
    </row>
    <row r="86" customHeight="1" spans="1:17">
      <c r="A86" s="3" t="str">
        <f>Raw_Data!A86</f>
        <v>C0081</v>
      </c>
      <c r="B86" s="4">
        <f>Raw_Data!B86</f>
        <v>45671</v>
      </c>
      <c r="C86" s="3" t="str">
        <f>Raw_Data!C86</f>
        <v>LinkedIn</v>
      </c>
      <c r="D86" s="3" t="str">
        <f>Raw_Data!D86</f>
        <v>West</v>
      </c>
      <c r="E86" s="5">
        <f>Raw_Data!E86</f>
        <v>9583.21</v>
      </c>
      <c r="F86" s="5">
        <f>Raw_Data!F86</f>
        <v>10409.08</v>
      </c>
      <c r="G86" s="3">
        <f>Raw_Data!G86</f>
        <v>188008</v>
      </c>
      <c r="H86" s="3">
        <f>Raw_Data!H86</f>
        <v>8592</v>
      </c>
      <c r="I86" s="3">
        <f>Raw_Data!I86</f>
        <v>165</v>
      </c>
      <c r="J86" s="5">
        <f>Raw_Data!J86</f>
        <v>7828.58</v>
      </c>
      <c r="K86" s="6">
        <f t="shared" si="7"/>
        <v>0.0457001829709374</v>
      </c>
      <c r="L86" s="5">
        <f t="shared" si="8"/>
        <v>1.21148510242086</v>
      </c>
      <c r="M86" s="5">
        <f t="shared" si="9"/>
        <v>63.0853333333333</v>
      </c>
      <c r="N86" s="7">
        <f t="shared" si="10"/>
        <v>0.75209144323994</v>
      </c>
      <c r="O86" s="5">
        <f t="shared" si="11"/>
        <v>-2580.5</v>
      </c>
      <c r="P86" s="8">
        <f t="shared" si="12"/>
        <v>-32.9625551504871</v>
      </c>
      <c r="Q86" s="3" t="str">
        <f t="shared" si="13"/>
        <v>2025-01</v>
      </c>
    </row>
    <row r="87" customHeight="1" spans="1:17">
      <c r="A87" s="3" t="str">
        <f>Raw_Data!A87</f>
        <v>C0042</v>
      </c>
      <c r="B87" s="4">
        <f>Raw_Data!B87</f>
        <v>45671</v>
      </c>
      <c r="C87" s="3" t="str">
        <f>Raw_Data!C87</f>
        <v>Twitter</v>
      </c>
      <c r="D87" s="3" t="str">
        <f>Raw_Data!D87</f>
        <v>North</v>
      </c>
      <c r="E87" s="5">
        <f>Raw_Data!E87</f>
        <v>3770.36</v>
      </c>
      <c r="F87" s="5">
        <f>Raw_Data!F87</f>
        <v>3274.11</v>
      </c>
      <c r="G87" s="3">
        <f>Raw_Data!G87</f>
        <v>179996</v>
      </c>
      <c r="H87" s="3">
        <f>Raw_Data!H87</f>
        <v>8814</v>
      </c>
      <c r="I87" s="3">
        <f>Raw_Data!I87</f>
        <v>1350</v>
      </c>
      <c r="J87" s="5">
        <f>Raw_Data!J87</f>
        <v>44297.87</v>
      </c>
      <c r="K87" s="6">
        <f t="shared" si="7"/>
        <v>0.0489677548389964</v>
      </c>
      <c r="L87" s="5">
        <f t="shared" si="8"/>
        <v>0.371466984343091</v>
      </c>
      <c r="M87" s="5">
        <f t="shared" si="9"/>
        <v>2.42526666666667</v>
      </c>
      <c r="N87" s="7">
        <f t="shared" si="10"/>
        <v>13.5297439609543</v>
      </c>
      <c r="O87" s="5">
        <f t="shared" si="11"/>
        <v>41023.76</v>
      </c>
      <c r="P87" s="8">
        <f t="shared" si="12"/>
        <v>92.6088771311126</v>
      </c>
      <c r="Q87" s="3" t="str">
        <f t="shared" si="13"/>
        <v>2025-01</v>
      </c>
    </row>
    <row r="88" customHeight="1" spans="1:17">
      <c r="A88" s="3" t="str">
        <f>Raw_Data!A88</f>
        <v>C0014</v>
      </c>
      <c r="B88" s="4">
        <f>Raw_Data!B88</f>
        <v>45672</v>
      </c>
      <c r="C88" s="3" t="str">
        <f>Raw_Data!C88</f>
        <v>LinkedIn</v>
      </c>
      <c r="D88" s="3" t="str">
        <f>Raw_Data!D88</f>
        <v>East</v>
      </c>
      <c r="E88" s="5">
        <f>Raw_Data!E88</f>
        <v>6081.07</v>
      </c>
      <c r="F88" s="5">
        <f>Raw_Data!F88</f>
        <v>5087.49</v>
      </c>
      <c r="G88" s="3">
        <f>Raw_Data!G88</f>
        <v>126413</v>
      </c>
      <c r="H88" s="3">
        <f>Raw_Data!H88</f>
        <v>3059</v>
      </c>
      <c r="I88" s="3">
        <f>Raw_Data!I88</f>
        <v>58</v>
      </c>
      <c r="J88" s="5">
        <f>Raw_Data!J88</f>
        <v>2021.61</v>
      </c>
      <c r="K88" s="6">
        <f t="shared" si="7"/>
        <v>0.0241984606013622</v>
      </c>
      <c r="L88" s="5">
        <f t="shared" si="8"/>
        <v>1.66312193527296</v>
      </c>
      <c r="M88" s="5">
        <f t="shared" si="9"/>
        <v>87.7153448275862</v>
      </c>
      <c r="N88" s="7">
        <f t="shared" si="10"/>
        <v>0.397368840037032</v>
      </c>
      <c r="O88" s="5">
        <f t="shared" si="11"/>
        <v>-3065.88</v>
      </c>
      <c r="P88" s="8">
        <f t="shared" si="12"/>
        <v>-151.655363794204</v>
      </c>
      <c r="Q88" s="3" t="str">
        <f t="shared" si="13"/>
        <v>2025-01</v>
      </c>
    </row>
    <row r="89" customHeight="1" spans="1:17">
      <c r="A89" s="3" t="str">
        <f>Raw_Data!A89</f>
        <v>C0426</v>
      </c>
      <c r="B89" s="4">
        <f>Raw_Data!B89</f>
        <v>45672</v>
      </c>
      <c r="C89" s="3" t="str">
        <f>Raw_Data!C89</f>
        <v>Twitter</v>
      </c>
      <c r="D89" s="3" t="str">
        <f>Raw_Data!D89</f>
        <v>East</v>
      </c>
      <c r="E89" s="5">
        <f>Raw_Data!E89</f>
        <v>3734.51</v>
      </c>
      <c r="F89" s="5">
        <f>Raw_Data!F89</f>
        <v>3258.78</v>
      </c>
      <c r="G89" s="3">
        <f>Raw_Data!G89</f>
        <v>188031</v>
      </c>
      <c r="H89" s="3">
        <f>Raw_Data!H89</f>
        <v>2257</v>
      </c>
      <c r="I89" s="3">
        <f>Raw_Data!I89</f>
        <v>398</v>
      </c>
      <c r="J89" s="5">
        <f>Raw_Data!J89</f>
        <v>19740.75</v>
      </c>
      <c r="K89" s="6">
        <f t="shared" si="7"/>
        <v>0.0120033398748079</v>
      </c>
      <c r="L89" s="5">
        <f t="shared" si="8"/>
        <v>1.44385467434648</v>
      </c>
      <c r="M89" s="5">
        <f t="shared" si="9"/>
        <v>8.18788944723618</v>
      </c>
      <c r="N89" s="7">
        <f t="shared" si="10"/>
        <v>6.05771178170972</v>
      </c>
      <c r="O89" s="5">
        <f t="shared" si="11"/>
        <v>16481.97</v>
      </c>
      <c r="P89" s="8">
        <f t="shared" si="12"/>
        <v>83.4921165609209</v>
      </c>
      <c r="Q89" s="3" t="str">
        <f t="shared" si="13"/>
        <v>2025-01</v>
      </c>
    </row>
    <row r="90" customHeight="1" spans="1:17">
      <c r="A90" s="3" t="str">
        <f>Raw_Data!A90</f>
        <v>C0122</v>
      </c>
      <c r="B90" s="4">
        <f>Raw_Data!B90</f>
        <v>45673</v>
      </c>
      <c r="C90" s="3" t="str">
        <f>Raw_Data!C90</f>
        <v>LinkedIn</v>
      </c>
      <c r="D90" s="3" t="str">
        <f>Raw_Data!D90</f>
        <v>East</v>
      </c>
      <c r="E90" s="5">
        <f>Raw_Data!E90</f>
        <v>6819.32</v>
      </c>
      <c r="F90" s="5">
        <f>Raw_Data!F90</f>
        <v>7381.5</v>
      </c>
      <c r="G90" s="3">
        <f>Raw_Data!G90</f>
        <v>53378</v>
      </c>
      <c r="H90" s="3">
        <f>Raw_Data!H90</f>
        <v>2137</v>
      </c>
      <c r="I90" s="3">
        <f>Raw_Data!I90</f>
        <v>410</v>
      </c>
      <c r="J90" s="5">
        <f>Raw_Data!J90</f>
        <v>12949.06</v>
      </c>
      <c r="K90" s="6">
        <f t="shared" si="7"/>
        <v>0.0400352205028289</v>
      </c>
      <c r="L90" s="5">
        <f t="shared" si="8"/>
        <v>3.45414131960693</v>
      </c>
      <c r="M90" s="5">
        <f t="shared" si="9"/>
        <v>18.0036585365854</v>
      </c>
      <c r="N90" s="7">
        <f t="shared" si="10"/>
        <v>1.75425861952178</v>
      </c>
      <c r="O90" s="5">
        <f t="shared" si="11"/>
        <v>5567.56</v>
      </c>
      <c r="P90" s="8">
        <f t="shared" si="12"/>
        <v>42.9958622479161</v>
      </c>
      <c r="Q90" s="3" t="str">
        <f t="shared" si="13"/>
        <v>2025-01</v>
      </c>
    </row>
    <row r="91" customHeight="1" spans="1:17">
      <c r="A91" s="3" t="str">
        <f>Raw_Data!A91</f>
        <v>C0192</v>
      </c>
      <c r="B91" s="4">
        <f>Raw_Data!B91</f>
        <v>45673</v>
      </c>
      <c r="C91" s="3" t="str">
        <f>Raw_Data!C91</f>
        <v>Facebook</v>
      </c>
      <c r="D91" s="3" t="str">
        <f>Raw_Data!D91</f>
        <v>West</v>
      </c>
      <c r="E91" s="5">
        <f>Raw_Data!E91</f>
        <v>7354.61</v>
      </c>
      <c r="F91" s="5">
        <f>Raw_Data!F91</f>
        <v>7786.39</v>
      </c>
      <c r="G91" s="3">
        <f>Raw_Data!G91</f>
        <v>76227</v>
      </c>
      <c r="H91" s="3">
        <f>Raw_Data!H91</f>
        <v>3059</v>
      </c>
      <c r="I91" s="3">
        <f>Raw_Data!I91</f>
        <v>504</v>
      </c>
      <c r="J91" s="5">
        <f>Raw_Data!J91</f>
        <v>24436.75</v>
      </c>
      <c r="K91" s="6">
        <f t="shared" si="7"/>
        <v>0.0401301376152807</v>
      </c>
      <c r="L91" s="5">
        <f t="shared" si="8"/>
        <v>2.54540372670807</v>
      </c>
      <c r="M91" s="5">
        <f t="shared" si="9"/>
        <v>15.4491865079365</v>
      </c>
      <c r="N91" s="7">
        <f t="shared" si="10"/>
        <v>3.13839275967425</v>
      </c>
      <c r="O91" s="5">
        <f t="shared" si="11"/>
        <v>16650.36</v>
      </c>
      <c r="P91" s="8">
        <f t="shared" si="12"/>
        <v>68.1365566206636</v>
      </c>
      <c r="Q91" s="3" t="str">
        <f t="shared" si="13"/>
        <v>2025-01</v>
      </c>
    </row>
    <row r="92" customHeight="1" spans="1:17">
      <c r="A92" s="3" t="str">
        <f>Raw_Data!A92</f>
        <v>C0486</v>
      </c>
      <c r="B92" s="4">
        <f>Raw_Data!B92</f>
        <v>45674</v>
      </c>
      <c r="C92" s="3" t="str">
        <f>Raw_Data!C92</f>
        <v>Instagram</v>
      </c>
      <c r="D92" s="3" t="str">
        <f>Raw_Data!D92</f>
        <v>North</v>
      </c>
      <c r="E92" s="5">
        <f>Raw_Data!E92</f>
        <v>9516.64</v>
      </c>
      <c r="F92" s="5">
        <f>Raw_Data!F92</f>
        <v>9581.91</v>
      </c>
      <c r="G92" s="3">
        <f>Raw_Data!G92</f>
        <v>84687</v>
      </c>
      <c r="H92" s="3">
        <f>Raw_Data!H92</f>
        <v>2681</v>
      </c>
      <c r="I92" s="3">
        <f>Raw_Data!I92</f>
        <v>448</v>
      </c>
      <c r="J92" s="5">
        <f>Raw_Data!J92</f>
        <v>18052.34</v>
      </c>
      <c r="K92" s="6">
        <f t="shared" si="7"/>
        <v>0.0316577514848796</v>
      </c>
      <c r="L92" s="5">
        <f t="shared" si="8"/>
        <v>3.57400596792242</v>
      </c>
      <c r="M92" s="5">
        <f t="shared" si="9"/>
        <v>21.3881919642857</v>
      </c>
      <c r="N92" s="7">
        <f t="shared" si="10"/>
        <v>1.88400225007332</v>
      </c>
      <c r="O92" s="5">
        <f t="shared" si="11"/>
        <v>8470.43</v>
      </c>
      <c r="P92" s="8">
        <f t="shared" si="12"/>
        <v>46.9215071287157</v>
      </c>
      <c r="Q92" s="3" t="str">
        <f t="shared" si="13"/>
        <v>2025-01</v>
      </c>
    </row>
    <row r="93" customHeight="1" spans="1:17">
      <c r="A93" s="3" t="str">
        <f>Raw_Data!A93</f>
        <v>C0074</v>
      </c>
      <c r="B93" s="4">
        <f>Raw_Data!B93</f>
        <v>45674</v>
      </c>
      <c r="C93" s="3" t="str">
        <f>Raw_Data!C93</f>
        <v>Facebook</v>
      </c>
      <c r="D93" s="3" t="str">
        <f>Raw_Data!D93</f>
        <v>North</v>
      </c>
      <c r="E93" s="5">
        <f>Raw_Data!E93</f>
        <v>8944.56</v>
      </c>
      <c r="F93" s="5">
        <f>Raw_Data!F93</f>
        <v>8920.27</v>
      </c>
      <c r="G93" s="3">
        <f>Raw_Data!G93</f>
        <v>107709</v>
      </c>
      <c r="H93" s="3">
        <f>Raw_Data!H93</f>
        <v>2586</v>
      </c>
      <c r="I93" s="3">
        <f>Raw_Data!I93</f>
        <v>314</v>
      </c>
      <c r="J93" s="5">
        <f>Raw_Data!J93</f>
        <v>11633.47</v>
      </c>
      <c r="K93" s="6">
        <f t="shared" si="7"/>
        <v>0.0240091357268195</v>
      </c>
      <c r="L93" s="5">
        <f t="shared" si="8"/>
        <v>3.44944702242846</v>
      </c>
      <c r="M93" s="5">
        <f t="shared" si="9"/>
        <v>28.4085031847134</v>
      </c>
      <c r="N93" s="7">
        <f t="shared" si="10"/>
        <v>1.30416119691444</v>
      </c>
      <c r="O93" s="5">
        <f t="shared" si="11"/>
        <v>2713.2</v>
      </c>
      <c r="P93" s="8">
        <f t="shared" si="12"/>
        <v>23.3223621155167</v>
      </c>
      <c r="Q93" s="3" t="str">
        <f t="shared" si="13"/>
        <v>2025-01</v>
      </c>
    </row>
    <row r="94" customHeight="1" spans="1:17">
      <c r="A94" s="3" t="str">
        <f>Raw_Data!A94</f>
        <v>C0002</v>
      </c>
      <c r="B94" s="4">
        <f>Raw_Data!B94</f>
        <v>45674</v>
      </c>
      <c r="C94" s="3" t="str">
        <f>Raw_Data!C94</f>
        <v>Facebook</v>
      </c>
      <c r="D94" s="3" t="str">
        <f>Raw_Data!D94</f>
        <v>South</v>
      </c>
      <c r="E94" s="5">
        <f>Raw_Data!E94</f>
        <v>7190.61</v>
      </c>
      <c r="F94" s="5">
        <f>Raw_Data!F94</f>
        <v>6089.05</v>
      </c>
      <c r="G94" s="3">
        <f>Raw_Data!G94</f>
        <v>64473</v>
      </c>
      <c r="H94" s="3">
        <f>Raw_Data!H94</f>
        <v>1120</v>
      </c>
      <c r="I94" s="3">
        <f>Raw_Data!I94</f>
        <v>72</v>
      </c>
      <c r="J94" s="5">
        <f>Raw_Data!J94</f>
        <v>1776.95</v>
      </c>
      <c r="K94" s="6">
        <f t="shared" si="7"/>
        <v>0.0173716129232392</v>
      </c>
      <c r="L94" s="5">
        <f t="shared" si="8"/>
        <v>5.43665178571429</v>
      </c>
      <c r="M94" s="5">
        <f t="shared" si="9"/>
        <v>84.5701388888889</v>
      </c>
      <c r="N94" s="7">
        <f t="shared" si="10"/>
        <v>0.29182713231128</v>
      </c>
      <c r="O94" s="5">
        <f t="shared" si="11"/>
        <v>-4312.1</v>
      </c>
      <c r="P94" s="8">
        <f t="shared" si="12"/>
        <v>-242.668617575058</v>
      </c>
      <c r="Q94" s="3" t="str">
        <f t="shared" si="13"/>
        <v>2025-01</v>
      </c>
    </row>
    <row r="95" customHeight="1" spans="1:17">
      <c r="A95" s="3" t="str">
        <f>Raw_Data!A95</f>
        <v>C0473</v>
      </c>
      <c r="B95" s="4">
        <f>Raw_Data!B95</f>
        <v>45674</v>
      </c>
      <c r="C95" s="3" t="str">
        <f>Raw_Data!C95</f>
        <v>LinkedIn</v>
      </c>
      <c r="D95" s="3" t="str">
        <f>Raw_Data!D95</f>
        <v>North</v>
      </c>
      <c r="E95" s="5">
        <f>Raw_Data!E95</f>
        <v>3275.4</v>
      </c>
      <c r="F95" s="5">
        <f>Raw_Data!F95</f>
        <v>2740.31</v>
      </c>
      <c r="G95" s="3">
        <f>Raw_Data!G95</f>
        <v>65706</v>
      </c>
      <c r="H95" s="3">
        <f>Raw_Data!H95</f>
        <v>3012</v>
      </c>
      <c r="I95" s="3">
        <f>Raw_Data!I95</f>
        <v>475</v>
      </c>
      <c r="J95" s="5">
        <f>Raw_Data!J95</f>
        <v>15943.84</v>
      </c>
      <c r="K95" s="6">
        <f t="shared" si="7"/>
        <v>0.0458405625057072</v>
      </c>
      <c r="L95" s="5">
        <f t="shared" si="8"/>
        <v>0.909797476759628</v>
      </c>
      <c r="M95" s="5">
        <f t="shared" si="9"/>
        <v>5.76907368421053</v>
      </c>
      <c r="N95" s="7">
        <f t="shared" si="10"/>
        <v>5.81826143757458</v>
      </c>
      <c r="O95" s="5">
        <f t="shared" si="11"/>
        <v>13203.53</v>
      </c>
      <c r="P95" s="8">
        <f t="shared" si="12"/>
        <v>82.8127352005539</v>
      </c>
      <c r="Q95" s="3" t="str">
        <f t="shared" si="13"/>
        <v>2025-01</v>
      </c>
    </row>
    <row r="96" customHeight="1" spans="1:17">
      <c r="A96" s="3" t="str">
        <f>Raw_Data!A96</f>
        <v>C0055</v>
      </c>
      <c r="B96" s="4">
        <f>Raw_Data!B96</f>
        <v>45674</v>
      </c>
      <c r="C96" s="3" t="str">
        <f>Raw_Data!C96</f>
        <v>Google Ads</v>
      </c>
      <c r="D96" s="3" t="str">
        <f>Raw_Data!D96</f>
        <v>East</v>
      </c>
      <c r="E96" s="5">
        <f>Raw_Data!E96</f>
        <v>7434.71</v>
      </c>
      <c r="F96" s="5">
        <f>Raw_Data!F96</f>
        <v>7142.77</v>
      </c>
      <c r="G96" s="3">
        <f>Raw_Data!G96</f>
        <v>102718</v>
      </c>
      <c r="H96" s="3">
        <f>Raw_Data!H96</f>
        <v>2206</v>
      </c>
      <c r="I96" s="3">
        <f>Raw_Data!I96</f>
        <v>152</v>
      </c>
      <c r="J96" s="5">
        <f>Raw_Data!J96</f>
        <v>3451.72</v>
      </c>
      <c r="K96" s="6">
        <f t="shared" si="7"/>
        <v>0.0214762748495882</v>
      </c>
      <c r="L96" s="5">
        <f t="shared" si="8"/>
        <v>3.23788304623753</v>
      </c>
      <c r="M96" s="5">
        <f t="shared" si="9"/>
        <v>46.9919078947368</v>
      </c>
      <c r="N96" s="7">
        <f t="shared" si="10"/>
        <v>0.483246695609686</v>
      </c>
      <c r="O96" s="5">
        <f t="shared" si="11"/>
        <v>-3691.05</v>
      </c>
      <c r="P96" s="8">
        <f t="shared" si="12"/>
        <v>-106.933644675698</v>
      </c>
      <c r="Q96" s="3" t="str">
        <f t="shared" si="13"/>
        <v>2025-01</v>
      </c>
    </row>
    <row r="97" customHeight="1" spans="1:17">
      <c r="A97" s="3" t="str">
        <f>Raw_Data!A97</f>
        <v>C0422</v>
      </c>
      <c r="B97" s="4">
        <f>Raw_Data!B97</f>
        <v>45675</v>
      </c>
      <c r="C97" s="3" t="str">
        <f>Raw_Data!C97</f>
        <v>Twitter</v>
      </c>
      <c r="D97" s="3" t="str">
        <f>Raw_Data!D97</f>
        <v>East</v>
      </c>
      <c r="E97" s="5">
        <f>Raw_Data!E97</f>
        <v>6186.54</v>
      </c>
      <c r="F97" s="5">
        <f>Raw_Data!F97</f>
        <v>4970.8</v>
      </c>
      <c r="G97" s="3">
        <f>Raw_Data!G97</f>
        <v>131046</v>
      </c>
      <c r="H97" s="3">
        <f>Raw_Data!H97</f>
        <v>6398</v>
      </c>
      <c r="I97" s="3">
        <f>Raw_Data!I97</f>
        <v>1049</v>
      </c>
      <c r="J97" s="5">
        <f>Raw_Data!J97</f>
        <v>23259.9</v>
      </c>
      <c r="K97" s="6">
        <f t="shared" si="7"/>
        <v>0.0488225508600034</v>
      </c>
      <c r="L97" s="5">
        <f t="shared" si="8"/>
        <v>0.776930290715849</v>
      </c>
      <c r="M97" s="5">
        <f t="shared" si="9"/>
        <v>4.73860819828408</v>
      </c>
      <c r="N97" s="7">
        <f t="shared" si="10"/>
        <v>4.67930715377806</v>
      </c>
      <c r="O97" s="5">
        <f t="shared" si="11"/>
        <v>18289.1</v>
      </c>
      <c r="P97" s="8">
        <f t="shared" si="12"/>
        <v>78.6293148293845</v>
      </c>
      <c r="Q97" s="3" t="str">
        <f t="shared" si="13"/>
        <v>2025-01</v>
      </c>
    </row>
    <row r="98" customHeight="1" spans="1:17">
      <c r="A98" s="3" t="str">
        <f>Raw_Data!A98</f>
        <v>C0304</v>
      </c>
      <c r="B98" s="4">
        <f>Raw_Data!B98</f>
        <v>45675</v>
      </c>
      <c r="C98" s="3" t="str">
        <f>Raw_Data!C98</f>
        <v>Instagram</v>
      </c>
      <c r="D98" s="3" t="str">
        <f>Raw_Data!D98</f>
        <v>East</v>
      </c>
      <c r="E98" s="5">
        <f>Raw_Data!E98</f>
        <v>5657.85</v>
      </c>
      <c r="F98" s="5">
        <f>Raw_Data!F98</f>
        <v>5528.22</v>
      </c>
      <c r="G98" s="3">
        <f>Raw_Data!G98</f>
        <v>131078</v>
      </c>
      <c r="H98" s="3">
        <f>Raw_Data!H98</f>
        <v>4550</v>
      </c>
      <c r="I98" s="3">
        <f>Raw_Data!I98</f>
        <v>114</v>
      </c>
      <c r="J98" s="5">
        <f>Raw_Data!J98</f>
        <v>3196.78</v>
      </c>
      <c r="K98" s="6">
        <f t="shared" si="7"/>
        <v>0.034712156120783</v>
      </c>
      <c r="L98" s="5">
        <f t="shared" si="8"/>
        <v>1.21499340659341</v>
      </c>
      <c r="M98" s="5">
        <f t="shared" si="9"/>
        <v>48.4931578947368</v>
      </c>
      <c r="N98" s="7">
        <f t="shared" si="10"/>
        <v>0.578265698543111</v>
      </c>
      <c r="O98" s="5">
        <f t="shared" si="11"/>
        <v>-2331.44</v>
      </c>
      <c r="P98" s="8">
        <f t="shared" si="12"/>
        <v>-72.9308867047466</v>
      </c>
      <c r="Q98" s="3" t="str">
        <f t="shared" si="13"/>
        <v>2025-01</v>
      </c>
    </row>
    <row r="99" customHeight="1" spans="1:17">
      <c r="A99" s="3" t="str">
        <f>Raw_Data!A99</f>
        <v>C0410</v>
      </c>
      <c r="B99" s="4">
        <f>Raw_Data!B99</f>
        <v>45675</v>
      </c>
      <c r="C99" s="3" t="str">
        <f>Raw_Data!C99</f>
        <v>Google Ads</v>
      </c>
      <c r="D99" s="3" t="str">
        <f>Raw_Data!D99</f>
        <v>North</v>
      </c>
      <c r="E99" s="5">
        <f>Raw_Data!E99</f>
        <v>4919.51</v>
      </c>
      <c r="F99" s="5">
        <f>Raw_Data!F99</f>
        <v>5387.81</v>
      </c>
      <c r="G99" s="3">
        <f>Raw_Data!G99</f>
        <v>118998</v>
      </c>
      <c r="H99" s="3">
        <f>Raw_Data!H99</f>
        <v>1453</v>
      </c>
      <c r="I99" s="3">
        <f>Raw_Data!I99</f>
        <v>106</v>
      </c>
      <c r="J99" s="5">
        <f>Raw_Data!J99</f>
        <v>3421.68</v>
      </c>
      <c r="K99" s="6">
        <f t="shared" si="7"/>
        <v>0.0122102892485588</v>
      </c>
      <c r="L99" s="5">
        <f t="shared" si="8"/>
        <v>3.70805918788713</v>
      </c>
      <c r="M99" s="5">
        <f t="shared" si="9"/>
        <v>50.8283962264151</v>
      </c>
      <c r="N99" s="7">
        <f t="shared" si="10"/>
        <v>0.635078074393863</v>
      </c>
      <c r="O99" s="5">
        <f t="shared" si="11"/>
        <v>-1966.13</v>
      </c>
      <c r="P99" s="8">
        <f t="shared" si="12"/>
        <v>-57.4609548525871</v>
      </c>
      <c r="Q99" s="3" t="str">
        <f t="shared" si="13"/>
        <v>2025-01</v>
      </c>
    </row>
    <row r="100" customHeight="1" spans="1:17">
      <c r="A100" s="3" t="str">
        <f>Raw_Data!A100</f>
        <v>C0378</v>
      </c>
      <c r="B100" s="4">
        <f>Raw_Data!B100</f>
        <v>45675</v>
      </c>
      <c r="C100" s="3" t="str">
        <f>Raw_Data!C100</f>
        <v>Facebook</v>
      </c>
      <c r="D100" s="3" t="str">
        <f>Raw_Data!D100</f>
        <v>South</v>
      </c>
      <c r="E100" s="5">
        <f>Raw_Data!E100</f>
        <v>6471.13</v>
      </c>
      <c r="F100" s="5">
        <f>Raw_Data!F100</f>
        <v>5334.24</v>
      </c>
      <c r="G100" s="3">
        <f>Raw_Data!G100</f>
        <v>130452</v>
      </c>
      <c r="H100" s="3">
        <f>Raw_Data!H100</f>
        <v>4881</v>
      </c>
      <c r="I100" s="3">
        <f>Raw_Data!I100</f>
        <v>864</v>
      </c>
      <c r="J100" s="5">
        <f>Raw_Data!J100</f>
        <v>22987.15</v>
      </c>
      <c r="K100" s="6">
        <f t="shared" si="7"/>
        <v>0.0374160610799374</v>
      </c>
      <c r="L100" s="5">
        <f t="shared" si="8"/>
        <v>1.09285802089736</v>
      </c>
      <c r="M100" s="5">
        <f t="shared" si="9"/>
        <v>6.17388888888889</v>
      </c>
      <c r="N100" s="7">
        <f t="shared" si="10"/>
        <v>4.3093580341342</v>
      </c>
      <c r="O100" s="5">
        <f t="shared" si="11"/>
        <v>17652.91</v>
      </c>
      <c r="P100" s="8">
        <f t="shared" si="12"/>
        <v>76.7946874666934</v>
      </c>
      <c r="Q100" s="3" t="str">
        <f t="shared" si="13"/>
        <v>2025-01</v>
      </c>
    </row>
    <row r="101" customHeight="1" spans="1:17">
      <c r="A101" s="3" t="str">
        <f>Raw_Data!A101</f>
        <v>C0223</v>
      </c>
      <c r="B101" s="4">
        <f>Raw_Data!B101</f>
        <v>45675</v>
      </c>
      <c r="C101" s="3" t="str">
        <f>Raw_Data!C101</f>
        <v>Instagram</v>
      </c>
      <c r="D101" s="3" t="str">
        <f>Raw_Data!D101</f>
        <v>East</v>
      </c>
      <c r="E101" s="5">
        <f>Raw_Data!E101</f>
        <v>4721.7</v>
      </c>
      <c r="F101" s="5">
        <f>Raw_Data!F101</f>
        <v>4004.97</v>
      </c>
      <c r="G101" s="3">
        <f>Raw_Data!G101</f>
        <v>138708</v>
      </c>
      <c r="H101" s="3">
        <f>Raw_Data!H101</f>
        <v>3409</v>
      </c>
      <c r="I101" s="3">
        <f>Raw_Data!I101</f>
        <v>272</v>
      </c>
      <c r="J101" s="5">
        <f>Raw_Data!J101</f>
        <v>6962.39</v>
      </c>
      <c r="K101" s="6">
        <f t="shared" si="7"/>
        <v>0.0245768088358278</v>
      </c>
      <c r="L101" s="5">
        <f t="shared" si="8"/>
        <v>1.17482252860076</v>
      </c>
      <c r="M101" s="5">
        <f t="shared" si="9"/>
        <v>14.7241544117647</v>
      </c>
      <c r="N101" s="7">
        <f t="shared" si="10"/>
        <v>1.73843749141691</v>
      </c>
      <c r="O101" s="5">
        <f t="shared" si="11"/>
        <v>2957.42</v>
      </c>
      <c r="P101" s="8">
        <f t="shared" si="12"/>
        <v>42.4770804278416</v>
      </c>
      <c r="Q101" s="3" t="str">
        <f t="shared" si="13"/>
        <v>2025-01</v>
      </c>
    </row>
    <row r="102" customHeight="1" spans="1:17">
      <c r="A102" s="3" t="str">
        <f>Raw_Data!A102</f>
        <v>C0290</v>
      </c>
      <c r="B102" s="4">
        <f>Raw_Data!B102</f>
        <v>45675</v>
      </c>
      <c r="C102" s="3" t="str">
        <f>Raw_Data!C102</f>
        <v>Twitter</v>
      </c>
      <c r="D102" s="3" t="str">
        <f>Raw_Data!D102</f>
        <v>West</v>
      </c>
      <c r="E102" s="5">
        <f>Raw_Data!E102</f>
        <v>4273.5</v>
      </c>
      <c r="F102" s="5">
        <f>Raw_Data!F102</f>
        <v>4523.65</v>
      </c>
      <c r="G102" s="3">
        <f>Raw_Data!G102</f>
        <v>68829</v>
      </c>
      <c r="H102" s="3">
        <f>Raw_Data!H102</f>
        <v>1090</v>
      </c>
      <c r="I102" s="3">
        <f>Raw_Data!I102</f>
        <v>124</v>
      </c>
      <c r="J102" s="5">
        <f>Raw_Data!J102</f>
        <v>5999.55</v>
      </c>
      <c r="K102" s="6">
        <f t="shared" si="7"/>
        <v>0.0158363480509669</v>
      </c>
      <c r="L102" s="5">
        <f t="shared" si="8"/>
        <v>4.1501376146789</v>
      </c>
      <c r="M102" s="5">
        <f t="shared" si="9"/>
        <v>36.4810483870968</v>
      </c>
      <c r="N102" s="7">
        <f t="shared" si="10"/>
        <v>1.32626308401402</v>
      </c>
      <c r="O102" s="5">
        <f t="shared" si="11"/>
        <v>1475.9</v>
      </c>
      <c r="P102" s="8">
        <f t="shared" si="12"/>
        <v>24.6001783467093</v>
      </c>
      <c r="Q102" s="3" t="str">
        <f t="shared" si="13"/>
        <v>2025-01</v>
      </c>
    </row>
    <row r="103" customHeight="1" spans="1:17">
      <c r="A103" s="3" t="str">
        <f>Raw_Data!A103</f>
        <v>C0241</v>
      </c>
      <c r="B103" s="4">
        <f>Raw_Data!B103</f>
        <v>45677</v>
      </c>
      <c r="C103" s="3" t="str">
        <f>Raw_Data!C103</f>
        <v>Instagram</v>
      </c>
      <c r="D103" s="3" t="str">
        <f>Raw_Data!D103</f>
        <v>West</v>
      </c>
      <c r="E103" s="5">
        <f>Raw_Data!E103</f>
        <v>9568.38</v>
      </c>
      <c r="F103" s="5">
        <f>Raw_Data!F103</f>
        <v>8174.94</v>
      </c>
      <c r="G103" s="3">
        <f>Raw_Data!G103</f>
        <v>158786</v>
      </c>
      <c r="H103" s="3">
        <f>Raw_Data!H103</f>
        <v>2402</v>
      </c>
      <c r="I103" s="3">
        <f>Raw_Data!I103</f>
        <v>240</v>
      </c>
      <c r="J103" s="5">
        <f>Raw_Data!J103</f>
        <v>5278.77</v>
      </c>
      <c r="K103" s="6">
        <f t="shared" si="7"/>
        <v>0.015127278223521</v>
      </c>
      <c r="L103" s="5">
        <f t="shared" si="8"/>
        <v>3.40338884263114</v>
      </c>
      <c r="M103" s="5">
        <f t="shared" si="9"/>
        <v>34.06225</v>
      </c>
      <c r="N103" s="7">
        <f t="shared" si="10"/>
        <v>0.645725840189653</v>
      </c>
      <c r="O103" s="5">
        <f t="shared" si="11"/>
        <v>-2896.17</v>
      </c>
      <c r="P103" s="8">
        <f t="shared" si="12"/>
        <v>-54.8644854767304</v>
      </c>
      <c r="Q103" s="3" t="str">
        <f t="shared" si="13"/>
        <v>2025-01</v>
      </c>
    </row>
    <row r="104" customHeight="1" spans="1:17">
      <c r="A104" s="3" t="str">
        <f>Raw_Data!A104</f>
        <v>C0030</v>
      </c>
      <c r="B104" s="4">
        <f>Raw_Data!B104</f>
        <v>45679</v>
      </c>
      <c r="C104" s="3" t="str">
        <f>Raw_Data!C104</f>
        <v>Google Ads</v>
      </c>
      <c r="D104" s="3" t="str">
        <f>Raw_Data!D104</f>
        <v>South</v>
      </c>
      <c r="E104" s="5">
        <f>Raw_Data!E104</f>
        <v>7462.9</v>
      </c>
      <c r="F104" s="5">
        <f>Raw_Data!F104</f>
        <v>7956.67</v>
      </c>
      <c r="G104" s="3">
        <f>Raw_Data!G104</f>
        <v>73683</v>
      </c>
      <c r="H104" s="3">
        <f>Raw_Data!H104</f>
        <v>2259</v>
      </c>
      <c r="I104" s="3">
        <f>Raw_Data!I104</f>
        <v>324</v>
      </c>
      <c r="J104" s="5">
        <f>Raw_Data!J104</f>
        <v>11069.93</v>
      </c>
      <c r="K104" s="6">
        <f t="shared" si="7"/>
        <v>0.0306583608159277</v>
      </c>
      <c r="L104" s="5">
        <f t="shared" si="8"/>
        <v>3.52220894200974</v>
      </c>
      <c r="M104" s="5">
        <f t="shared" si="9"/>
        <v>24.5576234567901</v>
      </c>
      <c r="N104" s="7">
        <f t="shared" si="10"/>
        <v>1.39127675271188</v>
      </c>
      <c r="O104" s="5">
        <f t="shared" si="11"/>
        <v>3113.26</v>
      </c>
      <c r="P104" s="8">
        <f t="shared" si="12"/>
        <v>28.1235744038128</v>
      </c>
      <c r="Q104" s="3" t="str">
        <f t="shared" si="13"/>
        <v>2025-01</v>
      </c>
    </row>
    <row r="105" customHeight="1" spans="1:17">
      <c r="A105" s="3" t="str">
        <f>Raw_Data!A105</f>
        <v>C0445</v>
      </c>
      <c r="B105" s="4">
        <f>Raw_Data!B105</f>
        <v>45679</v>
      </c>
      <c r="C105" s="3" t="str">
        <f>Raw_Data!C105</f>
        <v>LinkedIn</v>
      </c>
      <c r="D105" s="3" t="str">
        <f>Raw_Data!D105</f>
        <v>East</v>
      </c>
      <c r="E105" s="5">
        <f>Raw_Data!E105</f>
        <v>4599.18</v>
      </c>
      <c r="F105" s="5">
        <f>Raw_Data!F105</f>
        <v>5054.04</v>
      </c>
      <c r="G105" s="3">
        <f>Raw_Data!G105</f>
        <v>174584</v>
      </c>
      <c r="H105" s="3">
        <f>Raw_Data!H105</f>
        <v>5659</v>
      </c>
      <c r="I105" s="3">
        <f>Raw_Data!I105</f>
        <v>91</v>
      </c>
      <c r="J105" s="5">
        <f>Raw_Data!J105</f>
        <v>4481.19</v>
      </c>
      <c r="K105" s="6">
        <f t="shared" si="7"/>
        <v>0.0324141960317097</v>
      </c>
      <c r="L105" s="5">
        <f t="shared" si="8"/>
        <v>0.893097720445308</v>
      </c>
      <c r="M105" s="5">
        <f t="shared" si="9"/>
        <v>55.5389010989011</v>
      </c>
      <c r="N105" s="7">
        <f t="shared" si="10"/>
        <v>0.886655032409716</v>
      </c>
      <c r="O105" s="5">
        <f t="shared" si="11"/>
        <v>-572.85</v>
      </c>
      <c r="P105" s="8">
        <f t="shared" si="12"/>
        <v>-12.7834347572855</v>
      </c>
      <c r="Q105" s="3" t="str">
        <f t="shared" si="13"/>
        <v>2025-01</v>
      </c>
    </row>
    <row r="106" customHeight="1" spans="1:17">
      <c r="A106" s="3" t="str">
        <f>Raw_Data!A106</f>
        <v>C0129</v>
      </c>
      <c r="B106" s="4">
        <f>Raw_Data!B106</f>
        <v>45680</v>
      </c>
      <c r="C106" s="3" t="str">
        <f>Raw_Data!C106</f>
        <v>LinkedIn</v>
      </c>
      <c r="D106" s="3" t="str">
        <f>Raw_Data!D106</f>
        <v>West</v>
      </c>
      <c r="E106" s="5">
        <f>Raw_Data!E106</f>
        <v>8145.5</v>
      </c>
      <c r="F106" s="5">
        <f>Raw_Data!F106</f>
        <v>8479.83</v>
      </c>
      <c r="G106" s="3">
        <f>Raw_Data!G106</f>
        <v>81087</v>
      </c>
      <c r="H106" s="3">
        <f>Raw_Data!H106</f>
        <v>3895</v>
      </c>
      <c r="I106" s="3">
        <f>Raw_Data!I106</f>
        <v>231</v>
      </c>
      <c r="J106" s="5">
        <f>Raw_Data!J106</f>
        <v>6574.5</v>
      </c>
      <c r="K106" s="6">
        <f t="shared" si="7"/>
        <v>0.0480348267909776</v>
      </c>
      <c r="L106" s="5">
        <f t="shared" si="8"/>
        <v>2.17710654685494</v>
      </c>
      <c r="M106" s="5">
        <f t="shared" si="9"/>
        <v>36.7092207792208</v>
      </c>
      <c r="N106" s="7">
        <f t="shared" si="10"/>
        <v>0.77531035409908</v>
      </c>
      <c r="O106" s="5">
        <f t="shared" si="11"/>
        <v>-1905.33</v>
      </c>
      <c r="P106" s="8">
        <f t="shared" si="12"/>
        <v>-28.9806068902578</v>
      </c>
      <c r="Q106" s="3" t="str">
        <f t="shared" si="13"/>
        <v>2025-01</v>
      </c>
    </row>
    <row r="107" customHeight="1" spans="1:17">
      <c r="A107" s="3" t="str">
        <f>Raw_Data!A107</f>
        <v>C0197</v>
      </c>
      <c r="B107" s="4">
        <f>Raw_Data!B107</f>
        <v>45680</v>
      </c>
      <c r="C107" s="3" t="str">
        <f>Raw_Data!C107</f>
        <v>Google Ads</v>
      </c>
      <c r="D107" s="3" t="str">
        <f>Raw_Data!D107</f>
        <v>North</v>
      </c>
      <c r="E107" s="5">
        <f>Raw_Data!E107</f>
        <v>3896.32</v>
      </c>
      <c r="F107" s="5">
        <f>Raw_Data!F107</f>
        <v>3294.61</v>
      </c>
      <c r="G107" s="3">
        <f>Raw_Data!G107</f>
        <v>148880</v>
      </c>
      <c r="H107" s="3">
        <f>Raw_Data!H107</f>
        <v>1344</v>
      </c>
      <c r="I107" s="3">
        <f>Raw_Data!I107</f>
        <v>233</v>
      </c>
      <c r="J107" s="5">
        <f>Raw_Data!J107</f>
        <v>5630.4</v>
      </c>
      <c r="K107" s="6">
        <f t="shared" si="7"/>
        <v>0.00902740462117141</v>
      </c>
      <c r="L107" s="5">
        <f t="shared" si="8"/>
        <v>2.45134672619048</v>
      </c>
      <c r="M107" s="5">
        <f t="shared" si="9"/>
        <v>14.1399570815451</v>
      </c>
      <c r="N107" s="7">
        <f t="shared" si="10"/>
        <v>1.70897314097875</v>
      </c>
      <c r="O107" s="5">
        <f t="shared" si="11"/>
        <v>2335.79</v>
      </c>
      <c r="P107" s="8">
        <f t="shared" si="12"/>
        <v>41.485329639102</v>
      </c>
      <c r="Q107" s="3" t="str">
        <f t="shared" si="13"/>
        <v>2025-01</v>
      </c>
    </row>
    <row r="108" customHeight="1" spans="1:17">
      <c r="A108" s="3" t="str">
        <f>Raw_Data!A108</f>
        <v>C0238</v>
      </c>
      <c r="B108" s="4">
        <f>Raw_Data!B108</f>
        <v>45680</v>
      </c>
      <c r="C108" s="3" t="str">
        <f>Raw_Data!C108</f>
        <v>Twitter</v>
      </c>
      <c r="D108" s="3" t="str">
        <f>Raw_Data!D108</f>
        <v>North</v>
      </c>
      <c r="E108" s="5">
        <f>Raw_Data!E108</f>
        <v>7169.47</v>
      </c>
      <c r="F108" s="5">
        <f>Raw_Data!F108</f>
        <v>6749.86</v>
      </c>
      <c r="G108" s="3">
        <f>Raw_Data!G108</f>
        <v>109928</v>
      </c>
      <c r="H108" s="3">
        <f>Raw_Data!H108</f>
        <v>2600</v>
      </c>
      <c r="I108" s="3">
        <f>Raw_Data!I108</f>
        <v>192</v>
      </c>
      <c r="J108" s="5">
        <f>Raw_Data!J108</f>
        <v>6212.2</v>
      </c>
      <c r="K108" s="6">
        <f t="shared" si="7"/>
        <v>0.0236518448438978</v>
      </c>
      <c r="L108" s="5">
        <f t="shared" si="8"/>
        <v>2.5961</v>
      </c>
      <c r="M108" s="5">
        <f t="shared" si="9"/>
        <v>35.1555208333333</v>
      </c>
      <c r="N108" s="7">
        <f t="shared" si="10"/>
        <v>0.920345014563265</v>
      </c>
      <c r="O108" s="5">
        <f t="shared" si="11"/>
        <v>-537.66</v>
      </c>
      <c r="P108" s="8">
        <f t="shared" si="12"/>
        <v>-8.65490486462123</v>
      </c>
      <c r="Q108" s="3" t="str">
        <f t="shared" si="13"/>
        <v>2025-01</v>
      </c>
    </row>
    <row r="109" customHeight="1" spans="1:17">
      <c r="A109" s="3" t="str">
        <f>Raw_Data!A109</f>
        <v>C0489</v>
      </c>
      <c r="B109" s="4">
        <f>Raw_Data!B109</f>
        <v>45680</v>
      </c>
      <c r="C109" s="3" t="str">
        <f>Raw_Data!C109</f>
        <v>Twitter</v>
      </c>
      <c r="D109" s="3" t="str">
        <f>Raw_Data!D109</f>
        <v>North</v>
      </c>
      <c r="E109" s="5">
        <f>Raw_Data!E109</f>
        <v>9995.9</v>
      </c>
      <c r="F109" s="5">
        <f>Raw_Data!F109</f>
        <v>8141.3</v>
      </c>
      <c r="G109" s="3">
        <f>Raw_Data!G109</f>
        <v>99483</v>
      </c>
      <c r="H109" s="3">
        <f>Raw_Data!H109</f>
        <v>4587</v>
      </c>
      <c r="I109" s="3">
        <f>Raw_Data!I109</f>
        <v>250</v>
      </c>
      <c r="J109" s="5">
        <f>Raw_Data!J109</f>
        <v>12328.81</v>
      </c>
      <c r="K109" s="6">
        <f t="shared" si="7"/>
        <v>0.0461083803262869</v>
      </c>
      <c r="L109" s="5">
        <f t="shared" si="8"/>
        <v>1.77486374536734</v>
      </c>
      <c r="M109" s="5">
        <f t="shared" si="9"/>
        <v>32.5652</v>
      </c>
      <c r="N109" s="7">
        <f t="shared" si="10"/>
        <v>1.51435397295272</v>
      </c>
      <c r="O109" s="5">
        <f t="shared" si="11"/>
        <v>4187.51</v>
      </c>
      <c r="P109" s="8">
        <f t="shared" si="12"/>
        <v>33.9652407653293</v>
      </c>
      <c r="Q109" s="3" t="str">
        <f t="shared" si="13"/>
        <v>2025-01</v>
      </c>
    </row>
    <row r="110" customHeight="1" spans="1:17">
      <c r="A110" s="3" t="str">
        <f>Raw_Data!A110</f>
        <v>C0453</v>
      </c>
      <c r="B110" s="4">
        <f>Raw_Data!B110</f>
        <v>45681</v>
      </c>
      <c r="C110" s="3" t="str">
        <f>Raw_Data!C110</f>
        <v>Twitter</v>
      </c>
      <c r="D110" s="3" t="str">
        <f>Raw_Data!D110</f>
        <v>North</v>
      </c>
      <c r="E110" s="5">
        <f>Raw_Data!E110</f>
        <v>9304.91</v>
      </c>
      <c r="F110" s="5">
        <f>Raw_Data!F110</f>
        <v>8621.15</v>
      </c>
      <c r="G110" s="3">
        <f>Raw_Data!G110</f>
        <v>96330</v>
      </c>
      <c r="H110" s="3">
        <f>Raw_Data!H110</f>
        <v>1282</v>
      </c>
      <c r="I110" s="3">
        <f>Raw_Data!I110</f>
        <v>150</v>
      </c>
      <c r="J110" s="5">
        <f>Raw_Data!J110</f>
        <v>4245.73</v>
      </c>
      <c r="K110" s="6">
        <f t="shared" si="7"/>
        <v>0.0133084189764352</v>
      </c>
      <c r="L110" s="5">
        <f t="shared" si="8"/>
        <v>6.72476599063963</v>
      </c>
      <c r="M110" s="5">
        <f t="shared" si="9"/>
        <v>57.4743333333333</v>
      </c>
      <c r="N110" s="7">
        <f t="shared" si="10"/>
        <v>0.49247838165442</v>
      </c>
      <c r="O110" s="5">
        <f t="shared" si="11"/>
        <v>-4375.42</v>
      </c>
      <c r="P110" s="8">
        <f t="shared" si="12"/>
        <v>-103.05459838473</v>
      </c>
      <c r="Q110" s="3" t="str">
        <f t="shared" si="13"/>
        <v>2025-01</v>
      </c>
    </row>
    <row r="111" customHeight="1" spans="1:17">
      <c r="A111" s="3" t="str">
        <f>Raw_Data!A111</f>
        <v>C0424</v>
      </c>
      <c r="B111" s="4">
        <f>Raw_Data!B111</f>
        <v>45682</v>
      </c>
      <c r="C111" s="3" t="str">
        <f>Raw_Data!C111</f>
        <v>Google Ads</v>
      </c>
      <c r="D111" s="3" t="str">
        <f>Raw_Data!D111</f>
        <v>West</v>
      </c>
      <c r="E111" s="5">
        <f>Raw_Data!E111</f>
        <v>5041.64</v>
      </c>
      <c r="F111" s="5">
        <f>Raw_Data!F111</f>
        <v>5084.47</v>
      </c>
      <c r="G111" s="3">
        <f>Raw_Data!G111</f>
        <v>179928</v>
      </c>
      <c r="H111" s="3">
        <f>Raw_Data!H111</f>
        <v>5522</v>
      </c>
      <c r="I111" s="3">
        <f>Raw_Data!I111</f>
        <v>900</v>
      </c>
      <c r="J111" s="5">
        <f>Raw_Data!J111</f>
        <v>41223.3</v>
      </c>
      <c r="K111" s="6">
        <f t="shared" si="7"/>
        <v>0.0306900537992975</v>
      </c>
      <c r="L111" s="5">
        <f t="shared" si="8"/>
        <v>0.920766026801883</v>
      </c>
      <c r="M111" s="5">
        <f t="shared" si="9"/>
        <v>5.64941111111111</v>
      </c>
      <c r="N111" s="7">
        <f t="shared" si="10"/>
        <v>8.10768870698421</v>
      </c>
      <c r="O111" s="5">
        <f t="shared" si="11"/>
        <v>36138.83</v>
      </c>
      <c r="P111" s="8">
        <f t="shared" si="12"/>
        <v>87.6660286779564</v>
      </c>
      <c r="Q111" s="3" t="str">
        <f t="shared" si="13"/>
        <v>2025-01</v>
      </c>
    </row>
    <row r="112" customHeight="1" spans="1:17">
      <c r="A112" s="3" t="str">
        <f>Raw_Data!A112</f>
        <v>C0455</v>
      </c>
      <c r="B112" s="4">
        <f>Raw_Data!B112</f>
        <v>45682</v>
      </c>
      <c r="C112" s="3" t="str">
        <f>Raw_Data!C112</f>
        <v>Instagram</v>
      </c>
      <c r="D112" s="3" t="str">
        <f>Raw_Data!D112</f>
        <v>West</v>
      </c>
      <c r="E112" s="5">
        <f>Raw_Data!E112</f>
        <v>7360.77</v>
      </c>
      <c r="F112" s="5">
        <f>Raw_Data!F112</f>
        <v>7283.25</v>
      </c>
      <c r="G112" s="3">
        <f>Raw_Data!G112</f>
        <v>66585</v>
      </c>
      <c r="H112" s="3">
        <f>Raw_Data!H112</f>
        <v>3235</v>
      </c>
      <c r="I112" s="3">
        <f>Raw_Data!I112</f>
        <v>641</v>
      </c>
      <c r="J112" s="5">
        <f>Raw_Data!J112</f>
        <v>26917.76</v>
      </c>
      <c r="K112" s="6">
        <f t="shared" si="7"/>
        <v>0.0485845160321394</v>
      </c>
      <c r="L112" s="5">
        <f t="shared" si="8"/>
        <v>2.25139103554869</v>
      </c>
      <c r="M112" s="5">
        <f t="shared" si="9"/>
        <v>11.3623244929797</v>
      </c>
      <c r="N112" s="7">
        <f t="shared" si="10"/>
        <v>3.69584457488072</v>
      </c>
      <c r="O112" s="5">
        <f t="shared" si="11"/>
        <v>19634.51</v>
      </c>
      <c r="P112" s="8">
        <f t="shared" si="12"/>
        <v>72.942585118524</v>
      </c>
      <c r="Q112" s="3" t="str">
        <f t="shared" si="13"/>
        <v>2025-01</v>
      </c>
    </row>
    <row r="113" customHeight="1" spans="1:17">
      <c r="A113" s="3" t="str">
        <f>Raw_Data!A113</f>
        <v>C0054</v>
      </c>
      <c r="B113" s="4">
        <f>Raw_Data!B113</f>
        <v>45682</v>
      </c>
      <c r="C113" s="3" t="str">
        <f>Raw_Data!C113</f>
        <v>Twitter</v>
      </c>
      <c r="D113" s="3" t="str">
        <f>Raw_Data!D113</f>
        <v>East</v>
      </c>
      <c r="E113" s="5">
        <f>Raw_Data!E113</f>
        <v>8097.51</v>
      </c>
      <c r="F113" s="5">
        <f>Raw_Data!F113</f>
        <v>7371.45</v>
      </c>
      <c r="G113" s="3">
        <f>Raw_Data!G113</f>
        <v>111631</v>
      </c>
      <c r="H113" s="3">
        <f>Raw_Data!H113</f>
        <v>2469</v>
      </c>
      <c r="I113" s="3">
        <f>Raw_Data!I113</f>
        <v>139</v>
      </c>
      <c r="J113" s="5">
        <f>Raw_Data!J113</f>
        <v>5416.72</v>
      </c>
      <c r="K113" s="6">
        <f t="shared" si="7"/>
        <v>0.0221175121606005</v>
      </c>
      <c r="L113" s="5">
        <f t="shared" si="8"/>
        <v>2.98560145808019</v>
      </c>
      <c r="M113" s="5">
        <f t="shared" si="9"/>
        <v>53.0320143884892</v>
      </c>
      <c r="N113" s="7">
        <f t="shared" si="10"/>
        <v>0.734824220472227</v>
      </c>
      <c r="O113" s="5">
        <f t="shared" si="11"/>
        <v>-1954.73</v>
      </c>
      <c r="P113" s="8">
        <f t="shared" si="12"/>
        <v>-36.0869677590867</v>
      </c>
      <c r="Q113" s="3" t="str">
        <f t="shared" si="13"/>
        <v>2025-01</v>
      </c>
    </row>
    <row r="114" customHeight="1" spans="1:17">
      <c r="A114" s="3" t="str">
        <f>Raw_Data!A114</f>
        <v>C0281</v>
      </c>
      <c r="B114" s="4">
        <f>Raw_Data!B114</f>
        <v>45682</v>
      </c>
      <c r="C114" s="3" t="str">
        <f>Raw_Data!C114</f>
        <v>Twitter</v>
      </c>
      <c r="D114" s="3" t="str">
        <f>Raw_Data!D114</f>
        <v>South</v>
      </c>
      <c r="E114" s="5">
        <f>Raw_Data!E114</f>
        <v>3091.66</v>
      </c>
      <c r="F114" s="5">
        <f>Raw_Data!F114</f>
        <v>3088.76</v>
      </c>
      <c r="G114" s="3">
        <f>Raw_Data!G114</f>
        <v>170519</v>
      </c>
      <c r="H114" s="3">
        <f>Raw_Data!H114</f>
        <v>7134</v>
      </c>
      <c r="I114" s="3">
        <f>Raw_Data!I114</f>
        <v>1220</v>
      </c>
      <c r="J114" s="5">
        <f>Raw_Data!J114</f>
        <v>30916.12</v>
      </c>
      <c r="K114" s="6">
        <f t="shared" si="7"/>
        <v>0.0418369800432796</v>
      </c>
      <c r="L114" s="5">
        <f t="shared" si="8"/>
        <v>0.432963274460331</v>
      </c>
      <c r="M114" s="5">
        <f t="shared" si="9"/>
        <v>2.53177049180328</v>
      </c>
      <c r="N114" s="7">
        <f t="shared" si="10"/>
        <v>10.009233478807</v>
      </c>
      <c r="O114" s="5">
        <f t="shared" si="11"/>
        <v>27827.36</v>
      </c>
      <c r="P114" s="8">
        <f t="shared" si="12"/>
        <v>90.0092249609589</v>
      </c>
      <c r="Q114" s="3" t="str">
        <f t="shared" si="13"/>
        <v>2025-01</v>
      </c>
    </row>
    <row r="115" customHeight="1" spans="1:17">
      <c r="A115" s="3" t="str">
        <f>Raw_Data!A115</f>
        <v>C0476</v>
      </c>
      <c r="B115" s="4">
        <f>Raw_Data!B115</f>
        <v>45682</v>
      </c>
      <c r="C115" s="3" t="str">
        <f>Raw_Data!C115</f>
        <v>Instagram</v>
      </c>
      <c r="D115" s="3" t="str">
        <f>Raw_Data!D115</f>
        <v>North</v>
      </c>
      <c r="E115" s="5">
        <f>Raw_Data!E115</f>
        <v>9755.83</v>
      </c>
      <c r="F115" s="5">
        <f>Raw_Data!F115</f>
        <v>7819.12</v>
      </c>
      <c r="G115" s="3">
        <f>Raw_Data!G115</f>
        <v>175747</v>
      </c>
      <c r="H115" s="3">
        <f>Raw_Data!H115</f>
        <v>7548</v>
      </c>
      <c r="I115" s="3">
        <f>Raw_Data!I115</f>
        <v>1026</v>
      </c>
      <c r="J115" s="5">
        <f>Raw_Data!J115</f>
        <v>49816.77</v>
      </c>
      <c r="K115" s="6">
        <f t="shared" si="7"/>
        <v>0.0429481015323163</v>
      </c>
      <c r="L115" s="5">
        <f t="shared" si="8"/>
        <v>1.03591944886063</v>
      </c>
      <c r="M115" s="5">
        <f t="shared" si="9"/>
        <v>7.6209746588694</v>
      </c>
      <c r="N115" s="7">
        <f t="shared" si="10"/>
        <v>6.37114790411197</v>
      </c>
      <c r="O115" s="5">
        <f t="shared" si="11"/>
        <v>41997.65</v>
      </c>
      <c r="P115" s="8">
        <f t="shared" si="12"/>
        <v>84.3042413227514</v>
      </c>
      <c r="Q115" s="3" t="str">
        <f t="shared" si="13"/>
        <v>2025-01</v>
      </c>
    </row>
    <row r="116" customHeight="1" spans="1:17">
      <c r="A116" s="3" t="str">
        <f>Raw_Data!A116</f>
        <v>C0056</v>
      </c>
      <c r="B116" s="4">
        <f>Raw_Data!B116</f>
        <v>45684</v>
      </c>
      <c r="C116" s="3" t="str">
        <f>Raw_Data!C116</f>
        <v>LinkedIn</v>
      </c>
      <c r="D116" s="3" t="str">
        <f>Raw_Data!D116</f>
        <v>East</v>
      </c>
      <c r="E116" s="5">
        <f>Raw_Data!E116</f>
        <v>8847.12</v>
      </c>
      <c r="F116" s="5">
        <f>Raw_Data!F116</f>
        <v>7929.09</v>
      </c>
      <c r="G116" s="3">
        <f>Raw_Data!G116</f>
        <v>79647</v>
      </c>
      <c r="H116" s="3">
        <f>Raw_Data!H116</f>
        <v>2287</v>
      </c>
      <c r="I116" s="3">
        <f>Raw_Data!I116</f>
        <v>311</v>
      </c>
      <c r="J116" s="5">
        <f>Raw_Data!J116</f>
        <v>7960.22</v>
      </c>
      <c r="K116" s="6">
        <f t="shared" si="7"/>
        <v>0.0287142014137381</v>
      </c>
      <c r="L116" s="5">
        <f t="shared" si="8"/>
        <v>3.46702667249672</v>
      </c>
      <c r="M116" s="5">
        <f t="shared" si="9"/>
        <v>25.4954662379421</v>
      </c>
      <c r="N116" s="7">
        <f t="shared" si="10"/>
        <v>1.00392604952145</v>
      </c>
      <c r="O116" s="5">
        <f t="shared" si="11"/>
        <v>31.1300000000001</v>
      </c>
      <c r="P116" s="8">
        <f t="shared" si="12"/>
        <v>0.391069593553948</v>
      </c>
      <c r="Q116" s="3" t="str">
        <f t="shared" si="13"/>
        <v>2025-01</v>
      </c>
    </row>
    <row r="117" customHeight="1" spans="1:17">
      <c r="A117" s="3" t="str">
        <f>Raw_Data!A117</f>
        <v>C0477</v>
      </c>
      <c r="B117" s="4">
        <f>Raw_Data!B117</f>
        <v>45684</v>
      </c>
      <c r="C117" s="3" t="str">
        <f>Raw_Data!C117</f>
        <v>Facebook</v>
      </c>
      <c r="D117" s="3" t="str">
        <f>Raw_Data!D117</f>
        <v>West</v>
      </c>
      <c r="E117" s="5">
        <f>Raw_Data!E117</f>
        <v>7473.84</v>
      </c>
      <c r="F117" s="5">
        <f>Raw_Data!F117</f>
        <v>7925.08</v>
      </c>
      <c r="G117" s="3">
        <f>Raw_Data!G117</f>
        <v>150368</v>
      </c>
      <c r="H117" s="3">
        <f>Raw_Data!H117</f>
        <v>2680</v>
      </c>
      <c r="I117" s="3">
        <f>Raw_Data!I117</f>
        <v>75</v>
      </c>
      <c r="J117" s="5">
        <f>Raw_Data!J117</f>
        <v>2523.16</v>
      </c>
      <c r="K117" s="6">
        <f t="shared" si="7"/>
        <v>0.0178229410512875</v>
      </c>
      <c r="L117" s="5">
        <f t="shared" si="8"/>
        <v>2.95711940298507</v>
      </c>
      <c r="M117" s="5">
        <f t="shared" si="9"/>
        <v>105.667733333333</v>
      </c>
      <c r="N117" s="7">
        <f t="shared" si="10"/>
        <v>0.318376596829306</v>
      </c>
      <c r="O117" s="5">
        <f t="shared" si="11"/>
        <v>-5401.92</v>
      </c>
      <c r="P117" s="8">
        <f t="shared" si="12"/>
        <v>-214.093438386785</v>
      </c>
      <c r="Q117" s="3" t="str">
        <f t="shared" si="13"/>
        <v>2025-01</v>
      </c>
    </row>
    <row r="118" customHeight="1" spans="1:17">
      <c r="A118" s="3" t="str">
        <f>Raw_Data!A118</f>
        <v>C0319</v>
      </c>
      <c r="B118" s="4">
        <f>Raw_Data!B118</f>
        <v>45685</v>
      </c>
      <c r="C118" s="3" t="str">
        <f>Raw_Data!C118</f>
        <v>LinkedIn</v>
      </c>
      <c r="D118" s="3" t="str">
        <f>Raw_Data!D118</f>
        <v>East</v>
      </c>
      <c r="E118" s="5">
        <f>Raw_Data!E118</f>
        <v>5931.39</v>
      </c>
      <c r="F118" s="5">
        <f>Raw_Data!F118</f>
        <v>5426.88</v>
      </c>
      <c r="G118" s="3">
        <f>Raw_Data!G118</f>
        <v>87162</v>
      </c>
      <c r="H118" s="3">
        <f>Raw_Data!H118</f>
        <v>1775</v>
      </c>
      <c r="I118" s="3">
        <f>Raw_Data!I118</f>
        <v>84</v>
      </c>
      <c r="J118" s="5">
        <f>Raw_Data!J118</f>
        <v>2987.67</v>
      </c>
      <c r="K118" s="6">
        <f t="shared" si="7"/>
        <v>0.020364378972488</v>
      </c>
      <c r="L118" s="5">
        <f t="shared" si="8"/>
        <v>3.05739718309859</v>
      </c>
      <c r="M118" s="5">
        <f t="shared" si="9"/>
        <v>64.6057142857143</v>
      </c>
      <c r="N118" s="7">
        <f t="shared" si="10"/>
        <v>0.550531797275783</v>
      </c>
      <c r="O118" s="5">
        <f t="shared" si="11"/>
        <v>-2439.21</v>
      </c>
      <c r="P118" s="8">
        <f t="shared" si="12"/>
        <v>-81.6425508841338</v>
      </c>
      <c r="Q118" s="3" t="str">
        <f t="shared" si="13"/>
        <v>2025-01</v>
      </c>
    </row>
    <row r="119" customHeight="1" spans="1:17">
      <c r="A119" s="3" t="str">
        <f>Raw_Data!A119</f>
        <v>C0314</v>
      </c>
      <c r="B119" s="4">
        <f>Raw_Data!B119</f>
        <v>45685</v>
      </c>
      <c r="C119" s="3" t="str">
        <f>Raw_Data!C119</f>
        <v>Instagram</v>
      </c>
      <c r="D119" s="3" t="str">
        <f>Raw_Data!D119</f>
        <v>North</v>
      </c>
      <c r="E119" s="5">
        <f>Raw_Data!E119</f>
        <v>7035.62</v>
      </c>
      <c r="F119" s="5">
        <f>Raw_Data!F119</f>
        <v>6206.94</v>
      </c>
      <c r="G119" s="3">
        <f>Raw_Data!G119</f>
        <v>50360</v>
      </c>
      <c r="H119" s="3">
        <f>Raw_Data!H119</f>
        <v>1689</v>
      </c>
      <c r="I119" s="3">
        <f>Raw_Data!I119</f>
        <v>308</v>
      </c>
      <c r="J119" s="5">
        <f>Raw_Data!J119</f>
        <v>11280.6</v>
      </c>
      <c r="K119" s="6">
        <f t="shared" si="7"/>
        <v>0.0335385226370135</v>
      </c>
      <c r="L119" s="5">
        <f t="shared" si="8"/>
        <v>3.67492007104796</v>
      </c>
      <c r="M119" s="5">
        <f t="shared" si="9"/>
        <v>20.1524025974026</v>
      </c>
      <c r="N119" s="7">
        <f t="shared" si="10"/>
        <v>1.81741727807905</v>
      </c>
      <c r="O119" s="5">
        <f t="shared" si="11"/>
        <v>5073.66</v>
      </c>
      <c r="P119" s="8">
        <f t="shared" si="12"/>
        <v>44.9768629328227</v>
      </c>
      <c r="Q119" s="3" t="str">
        <f t="shared" si="13"/>
        <v>2025-01</v>
      </c>
    </row>
    <row r="120" customHeight="1" spans="1:17">
      <c r="A120" s="3" t="str">
        <f>Raw_Data!A120</f>
        <v>C0135</v>
      </c>
      <c r="B120" s="4">
        <f>Raw_Data!B120</f>
        <v>45685</v>
      </c>
      <c r="C120" s="3" t="str">
        <f>Raw_Data!C120</f>
        <v>Instagram</v>
      </c>
      <c r="D120" s="3" t="str">
        <f>Raw_Data!D120</f>
        <v>East</v>
      </c>
      <c r="E120" s="5">
        <f>Raw_Data!E120</f>
        <v>6536.77</v>
      </c>
      <c r="F120" s="5">
        <f>Raw_Data!F120</f>
        <v>6850.12</v>
      </c>
      <c r="G120" s="3">
        <f>Raw_Data!G120</f>
        <v>195662</v>
      </c>
      <c r="H120" s="3">
        <f>Raw_Data!H120</f>
        <v>9052</v>
      </c>
      <c r="I120" s="3">
        <f>Raw_Data!I120</f>
        <v>377</v>
      </c>
      <c r="J120" s="5">
        <f>Raw_Data!J120</f>
        <v>11159.76</v>
      </c>
      <c r="K120" s="6">
        <f t="shared" si="7"/>
        <v>0.0462634543242939</v>
      </c>
      <c r="L120" s="5">
        <f t="shared" si="8"/>
        <v>0.75675209898365</v>
      </c>
      <c r="M120" s="5">
        <f t="shared" si="9"/>
        <v>18.1700795755968</v>
      </c>
      <c r="N120" s="7">
        <f t="shared" si="10"/>
        <v>1.62913350423058</v>
      </c>
      <c r="O120" s="5">
        <f t="shared" si="11"/>
        <v>4309.64</v>
      </c>
      <c r="P120" s="8">
        <f t="shared" si="12"/>
        <v>38.6176763658</v>
      </c>
      <c r="Q120" s="3" t="str">
        <f t="shared" si="13"/>
        <v>2025-01</v>
      </c>
    </row>
    <row r="121" customHeight="1" spans="1:17">
      <c r="A121" s="3" t="str">
        <f>Raw_Data!A121</f>
        <v>C0337</v>
      </c>
      <c r="B121" s="4">
        <f>Raw_Data!B121</f>
        <v>45685</v>
      </c>
      <c r="C121" s="3" t="str">
        <f>Raw_Data!C121</f>
        <v>Google Ads</v>
      </c>
      <c r="D121" s="3" t="str">
        <f>Raw_Data!D121</f>
        <v>West</v>
      </c>
      <c r="E121" s="5">
        <f>Raw_Data!E121</f>
        <v>4747.68</v>
      </c>
      <c r="F121" s="5">
        <f>Raw_Data!F121</f>
        <v>4495.23</v>
      </c>
      <c r="G121" s="3">
        <f>Raw_Data!G121</f>
        <v>67946</v>
      </c>
      <c r="H121" s="3">
        <f>Raw_Data!H121</f>
        <v>1270</v>
      </c>
      <c r="I121" s="3">
        <f>Raw_Data!I121</f>
        <v>110</v>
      </c>
      <c r="J121" s="5">
        <f>Raw_Data!J121</f>
        <v>2929.99</v>
      </c>
      <c r="K121" s="6">
        <f t="shared" si="7"/>
        <v>0.0186913136902835</v>
      </c>
      <c r="L121" s="5">
        <f t="shared" si="8"/>
        <v>3.53955118110236</v>
      </c>
      <c r="M121" s="5">
        <f t="shared" si="9"/>
        <v>40.8657272727273</v>
      </c>
      <c r="N121" s="7">
        <f t="shared" si="10"/>
        <v>0.651799796673363</v>
      </c>
      <c r="O121" s="5">
        <f t="shared" si="11"/>
        <v>-1565.24</v>
      </c>
      <c r="P121" s="8">
        <f t="shared" si="12"/>
        <v>-53.4213427349581</v>
      </c>
      <c r="Q121" s="3" t="str">
        <f t="shared" si="13"/>
        <v>2025-01</v>
      </c>
    </row>
    <row r="122" customHeight="1" spans="1:17">
      <c r="A122" s="3" t="str">
        <f>Raw_Data!A122</f>
        <v>C0356</v>
      </c>
      <c r="B122" s="4">
        <f>Raw_Data!B122</f>
        <v>45685</v>
      </c>
      <c r="C122" s="3" t="str">
        <f>Raw_Data!C122</f>
        <v>Twitter</v>
      </c>
      <c r="D122" s="3" t="str">
        <f>Raw_Data!D122</f>
        <v>North</v>
      </c>
      <c r="E122" s="5">
        <f>Raw_Data!E122</f>
        <v>8163.08</v>
      </c>
      <c r="F122" s="5">
        <f>Raw_Data!F122</f>
        <v>7115.21</v>
      </c>
      <c r="G122" s="3">
        <f>Raw_Data!G122</f>
        <v>188259</v>
      </c>
      <c r="H122" s="3">
        <f>Raw_Data!H122</f>
        <v>3527</v>
      </c>
      <c r="I122" s="3">
        <f>Raw_Data!I122</f>
        <v>426</v>
      </c>
      <c r="J122" s="5">
        <f>Raw_Data!J122</f>
        <v>9931.86</v>
      </c>
      <c r="K122" s="6">
        <f t="shared" si="7"/>
        <v>0.0187348280825883</v>
      </c>
      <c r="L122" s="5">
        <f t="shared" si="8"/>
        <v>2.01735469237312</v>
      </c>
      <c r="M122" s="5">
        <f t="shared" si="9"/>
        <v>16.7023708920188</v>
      </c>
      <c r="N122" s="7">
        <f t="shared" si="10"/>
        <v>1.39586322821111</v>
      </c>
      <c r="O122" s="5">
        <f t="shared" si="11"/>
        <v>2816.65</v>
      </c>
      <c r="P122" s="8">
        <f t="shared" si="12"/>
        <v>28.3597432907834</v>
      </c>
      <c r="Q122" s="3" t="str">
        <f t="shared" si="13"/>
        <v>2025-01</v>
      </c>
    </row>
    <row r="123" customHeight="1" spans="1:17">
      <c r="A123" s="3" t="str">
        <f>Raw_Data!A123</f>
        <v>C0470</v>
      </c>
      <c r="B123" s="4">
        <f>Raw_Data!B123</f>
        <v>45686</v>
      </c>
      <c r="C123" s="3" t="str">
        <f>Raw_Data!C123</f>
        <v>Google Ads</v>
      </c>
      <c r="D123" s="3" t="str">
        <f>Raw_Data!D123</f>
        <v>East</v>
      </c>
      <c r="E123" s="5">
        <f>Raw_Data!E123</f>
        <v>8639.69</v>
      </c>
      <c r="F123" s="5">
        <f>Raw_Data!F123</f>
        <v>8428.94</v>
      </c>
      <c r="G123" s="3">
        <f>Raw_Data!G123</f>
        <v>72102</v>
      </c>
      <c r="H123" s="3">
        <f>Raw_Data!H123</f>
        <v>2351</v>
      </c>
      <c r="I123" s="3">
        <f>Raw_Data!I123</f>
        <v>159</v>
      </c>
      <c r="J123" s="5">
        <f>Raw_Data!J123</f>
        <v>7321.65</v>
      </c>
      <c r="K123" s="6">
        <f t="shared" si="7"/>
        <v>0.0326065851155308</v>
      </c>
      <c r="L123" s="5">
        <f t="shared" si="8"/>
        <v>3.58525733730328</v>
      </c>
      <c r="M123" s="5">
        <f t="shared" si="9"/>
        <v>53.0122012578616</v>
      </c>
      <c r="N123" s="7">
        <f t="shared" si="10"/>
        <v>0.86863235472076</v>
      </c>
      <c r="O123" s="5">
        <f t="shared" si="11"/>
        <v>-1107.29</v>
      </c>
      <c r="P123" s="8">
        <f t="shared" si="12"/>
        <v>-15.1235035818429</v>
      </c>
      <c r="Q123" s="3" t="str">
        <f t="shared" si="13"/>
        <v>2025-01</v>
      </c>
    </row>
    <row r="124" customHeight="1" spans="1:17">
      <c r="A124" s="3" t="str">
        <f>Raw_Data!A124</f>
        <v>C0364</v>
      </c>
      <c r="B124" s="4">
        <f>Raw_Data!B124</f>
        <v>45686</v>
      </c>
      <c r="C124" s="3" t="str">
        <f>Raw_Data!C124</f>
        <v>Google Ads</v>
      </c>
      <c r="D124" s="3" t="str">
        <f>Raw_Data!D124</f>
        <v>West</v>
      </c>
      <c r="E124" s="5">
        <f>Raw_Data!E124</f>
        <v>4621.7</v>
      </c>
      <c r="F124" s="5">
        <f>Raw_Data!F124</f>
        <v>5004.47</v>
      </c>
      <c r="G124" s="3">
        <f>Raw_Data!G124</f>
        <v>164936</v>
      </c>
      <c r="H124" s="3">
        <f>Raw_Data!H124</f>
        <v>4651</v>
      </c>
      <c r="I124" s="3">
        <f>Raw_Data!I124</f>
        <v>231</v>
      </c>
      <c r="J124" s="5">
        <f>Raw_Data!J124</f>
        <v>9122.05</v>
      </c>
      <c r="K124" s="6">
        <f t="shared" si="7"/>
        <v>0.0281988165106466</v>
      </c>
      <c r="L124" s="5">
        <f t="shared" si="8"/>
        <v>1.07599870995485</v>
      </c>
      <c r="M124" s="5">
        <f t="shared" si="9"/>
        <v>21.6643722943723</v>
      </c>
      <c r="N124" s="7">
        <f t="shared" si="10"/>
        <v>1.82278043429174</v>
      </c>
      <c r="O124" s="5">
        <f t="shared" si="11"/>
        <v>4117.58</v>
      </c>
      <c r="P124" s="8">
        <f t="shared" si="12"/>
        <v>45.1387571872551</v>
      </c>
      <c r="Q124" s="3" t="str">
        <f t="shared" si="13"/>
        <v>2025-01</v>
      </c>
    </row>
    <row r="125" customHeight="1" spans="1:17">
      <c r="A125" s="3" t="str">
        <f>Raw_Data!A125</f>
        <v>C0457</v>
      </c>
      <c r="B125" s="4">
        <f>Raw_Data!B125</f>
        <v>45686</v>
      </c>
      <c r="C125" s="3" t="str">
        <f>Raw_Data!C125</f>
        <v>LinkedIn</v>
      </c>
      <c r="D125" s="3" t="str">
        <f>Raw_Data!D125</f>
        <v>West</v>
      </c>
      <c r="E125" s="5">
        <f>Raw_Data!E125</f>
        <v>4257.78</v>
      </c>
      <c r="F125" s="5">
        <f>Raw_Data!F125</f>
        <v>3709.65</v>
      </c>
      <c r="G125" s="3">
        <f>Raw_Data!G125</f>
        <v>194804</v>
      </c>
      <c r="H125" s="3">
        <f>Raw_Data!H125</f>
        <v>8803</v>
      </c>
      <c r="I125" s="3">
        <f>Raw_Data!I125</f>
        <v>1231</v>
      </c>
      <c r="J125" s="5">
        <f>Raw_Data!J125</f>
        <v>60493.62</v>
      </c>
      <c r="K125" s="6">
        <f t="shared" si="7"/>
        <v>0.0451890104925977</v>
      </c>
      <c r="L125" s="5">
        <f t="shared" si="8"/>
        <v>0.421407474724526</v>
      </c>
      <c r="M125" s="5">
        <f t="shared" si="9"/>
        <v>3.01352558895207</v>
      </c>
      <c r="N125" s="7">
        <f t="shared" si="10"/>
        <v>16.3070963567992</v>
      </c>
      <c r="O125" s="5">
        <f t="shared" si="11"/>
        <v>56783.97</v>
      </c>
      <c r="P125" s="8">
        <f t="shared" si="12"/>
        <v>93.8677004285741</v>
      </c>
      <c r="Q125" s="3" t="str">
        <f t="shared" si="13"/>
        <v>2025-01</v>
      </c>
    </row>
    <row r="126" customHeight="1" spans="1:17">
      <c r="A126" s="3" t="str">
        <f>Raw_Data!A126</f>
        <v>C0317</v>
      </c>
      <c r="B126" s="4">
        <f>Raw_Data!B126</f>
        <v>45686</v>
      </c>
      <c r="C126" s="3" t="str">
        <f>Raw_Data!C126</f>
        <v>LinkedIn</v>
      </c>
      <c r="D126" s="3" t="str">
        <f>Raw_Data!D126</f>
        <v>South</v>
      </c>
      <c r="E126" s="5">
        <f>Raw_Data!E126</f>
        <v>9117.23</v>
      </c>
      <c r="F126" s="5">
        <f>Raw_Data!F126</f>
        <v>8927.81</v>
      </c>
      <c r="G126" s="3">
        <f>Raw_Data!G126</f>
        <v>68618</v>
      </c>
      <c r="H126" s="3">
        <f>Raw_Data!H126</f>
        <v>3036</v>
      </c>
      <c r="I126" s="3">
        <f>Raw_Data!I126</f>
        <v>196</v>
      </c>
      <c r="J126" s="5">
        <f>Raw_Data!J126</f>
        <v>7451.04</v>
      </c>
      <c r="K126" s="6">
        <f t="shared" si="7"/>
        <v>0.0442449503045848</v>
      </c>
      <c r="L126" s="5">
        <f t="shared" si="8"/>
        <v>2.9406488801054</v>
      </c>
      <c r="M126" s="5">
        <f t="shared" si="9"/>
        <v>45.5500510204082</v>
      </c>
      <c r="N126" s="7">
        <f t="shared" si="10"/>
        <v>0.834587653635102</v>
      </c>
      <c r="O126" s="5">
        <f t="shared" si="11"/>
        <v>-1476.77</v>
      </c>
      <c r="P126" s="8">
        <f t="shared" si="12"/>
        <v>-19.8196493375421</v>
      </c>
      <c r="Q126" s="3" t="str">
        <f t="shared" si="13"/>
        <v>2025-01</v>
      </c>
    </row>
    <row r="127" customHeight="1" spans="1:17">
      <c r="A127" s="3" t="str">
        <f>Raw_Data!A127</f>
        <v>C0411</v>
      </c>
      <c r="B127" s="4">
        <f>Raw_Data!B127</f>
        <v>45687</v>
      </c>
      <c r="C127" s="3" t="str">
        <f>Raw_Data!C127</f>
        <v>Facebook</v>
      </c>
      <c r="D127" s="3" t="str">
        <f>Raw_Data!D127</f>
        <v>East</v>
      </c>
      <c r="E127" s="5">
        <f>Raw_Data!E127</f>
        <v>9258.69</v>
      </c>
      <c r="F127" s="5">
        <f>Raw_Data!F127</f>
        <v>8045.68</v>
      </c>
      <c r="G127" s="3">
        <f>Raw_Data!G127</f>
        <v>115280</v>
      </c>
      <c r="H127" s="3">
        <f>Raw_Data!H127</f>
        <v>3264</v>
      </c>
      <c r="I127" s="3">
        <f>Raw_Data!I127</f>
        <v>281</v>
      </c>
      <c r="J127" s="5">
        <f>Raw_Data!J127</f>
        <v>7416.47</v>
      </c>
      <c r="K127" s="6">
        <f t="shared" si="7"/>
        <v>0.0283136710617627</v>
      </c>
      <c r="L127" s="5">
        <f t="shared" si="8"/>
        <v>2.46497549019608</v>
      </c>
      <c r="M127" s="5">
        <f t="shared" si="9"/>
        <v>28.6323131672598</v>
      </c>
      <c r="N127" s="7">
        <f t="shared" si="10"/>
        <v>0.921795298843603</v>
      </c>
      <c r="O127" s="5">
        <f t="shared" si="11"/>
        <v>-629.21</v>
      </c>
      <c r="P127" s="8">
        <f t="shared" si="12"/>
        <v>-8.48395530488224</v>
      </c>
      <c r="Q127" s="3" t="str">
        <f t="shared" si="13"/>
        <v>2025-01</v>
      </c>
    </row>
    <row r="128" customHeight="1" spans="1:17">
      <c r="A128" s="3" t="str">
        <f>Raw_Data!A128</f>
        <v>C0451</v>
      </c>
      <c r="B128" s="4">
        <f>Raw_Data!B128</f>
        <v>45687</v>
      </c>
      <c r="C128" s="3" t="str">
        <f>Raw_Data!C128</f>
        <v>Twitter</v>
      </c>
      <c r="D128" s="3" t="str">
        <f>Raw_Data!D128</f>
        <v>South</v>
      </c>
      <c r="E128" s="5">
        <f>Raw_Data!E128</f>
        <v>9069.22</v>
      </c>
      <c r="F128" s="5">
        <f>Raw_Data!F128</f>
        <v>8829.82</v>
      </c>
      <c r="G128" s="3">
        <f>Raw_Data!G128</f>
        <v>149827</v>
      </c>
      <c r="H128" s="3">
        <f>Raw_Data!H128</f>
        <v>5041</v>
      </c>
      <c r="I128" s="3">
        <f>Raw_Data!I128</f>
        <v>104</v>
      </c>
      <c r="J128" s="5">
        <f>Raw_Data!J128</f>
        <v>3448.48</v>
      </c>
      <c r="K128" s="6">
        <f t="shared" si="7"/>
        <v>0.0336454711100136</v>
      </c>
      <c r="L128" s="5">
        <f t="shared" si="8"/>
        <v>1.75160087284269</v>
      </c>
      <c r="M128" s="5">
        <f t="shared" si="9"/>
        <v>84.9021153846154</v>
      </c>
      <c r="N128" s="7">
        <f t="shared" si="10"/>
        <v>0.390549297720678</v>
      </c>
      <c r="O128" s="5">
        <f t="shared" si="11"/>
        <v>-5381.34</v>
      </c>
      <c r="P128" s="8">
        <f t="shared" si="12"/>
        <v>-156.049621862386</v>
      </c>
      <c r="Q128" s="3" t="str">
        <f t="shared" si="13"/>
        <v>2025-01</v>
      </c>
    </row>
    <row r="129" customHeight="1" spans="1:17">
      <c r="A129" s="3" t="str">
        <f>Raw_Data!A129</f>
        <v>C0068</v>
      </c>
      <c r="B129" s="4">
        <f>Raw_Data!B129</f>
        <v>45687</v>
      </c>
      <c r="C129" s="3" t="str">
        <f>Raw_Data!C129</f>
        <v>Facebook</v>
      </c>
      <c r="D129" s="3" t="str">
        <f>Raw_Data!D129</f>
        <v>South</v>
      </c>
      <c r="E129" s="5">
        <f>Raw_Data!E129</f>
        <v>3588.98</v>
      </c>
      <c r="F129" s="5">
        <f>Raw_Data!F129</f>
        <v>3045.21</v>
      </c>
      <c r="G129" s="3">
        <f>Raw_Data!G129</f>
        <v>162389</v>
      </c>
      <c r="H129" s="3">
        <f>Raw_Data!H129</f>
        <v>4500</v>
      </c>
      <c r="I129" s="3">
        <f>Raw_Data!I129</f>
        <v>742</v>
      </c>
      <c r="J129" s="5">
        <f>Raw_Data!J129</f>
        <v>34841.82</v>
      </c>
      <c r="K129" s="6">
        <f t="shared" si="7"/>
        <v>0.0277112365985381</v>
      </c>
      <c r="L129" s="5">
        <f t="shared" si="8"/>
        <v>0.676713333333333</v>
      </c>
      <c r="M129" s="5">
        <f t="shared" si="9"/>
        <v>4.10405660377358</v>
      </c>
      <c r="N129" s="7">
        <f t="shared" si="10"/>
        <v>11.4415163486262</v>
      </c>
      <c r="O129" s="5">
        <f t="shared" si="11"/>
        <v>31796.61</v>
      </c>
      <c r="P129" s="8">
        <f t="shared" si="12"/>
        <v>91.2598997411731</v>
      </c>
      <c r="Q129" s="3" t="str">
        <f t="shared" si="13"/>
        <v>2025-01</v>
      </c>
    </row>
    <row r="130" customHeight="1" spans="1:17">
      <c r="A130" s="3" t="str">
        <f>Raw_Data!A130</f>
        <v>C0324</v>
      </c>
      <c r="B130" s="4">
        <f>Raw_Data!B130</f>
        <v>45688</v>
      </c>
      <c r="C130" s="3" t="str">
        <f>Raw_Data!C130</f>
        <v>Facebook</v>
      </c>
      <c r="D130" s="3" t="str">
        <f>Raw_Data!D130</f>
        <v>West</v>
      </c>
      <c r="E130" s="5">
        <f>Raw_Data!E130</f>
        <v>6332.35</v>
      </c>
      <c r="F130" s="5">
        <f>Raw_Data!F130</f>
        <v>6326.66</v>
      </c>
      <c r="G130" s="3">
        <f>Raw_Data!G130</f>
        <v>185576</v>
      </c>
      <c r="H130" s="3">
        <f>Raw_Data!H130</f>
        <v>8158</v>
      </c>
      <c r="I130" s="3">
        <f>Raw_Data!I130</f>
        <v>162</v>
      </c>
      <c r="J130" s="5">
        <f>Raw_Data!J130</f>
        <v>7792.99</v>
      </c>
      <c r="K130" s="6">
        <f t="shared" ref="K130:K193" si="14">IFERROR(H130/G130,0)</f>
        <v>0.0439604259171445</v>
      </c>
      <c r="L130" s="5">
        <f t="shared" ref="L130:L193" si="15">IFERROR(F130/H130,0)</f>
        <v>0.775516057857318</v>
      </c>
      <c r="M130" s="5">
        <f t="shared" ref="M130:M193" si="16">IFERROR(F130/I130,0)</f>
        <v>39.0534567901235</v>
      </c>
      <c r="N130" s="7">
        <f t="shared" ref="N130:N193" si="17">IFERROR(J130/F130,0)</f>
        <v>1.23177000186512</v>
      </c>
      <c r="O130" s="5">
        <f t="shared" ref="O130:O193" si="18">J130-F130</f>
        <v>1466.33</v>
      </c>
      <c r="P130" s="8">
        <f t="shared" ref="P130:P193" si="19">IFERROR(O130/J130*100,0)</f>
        <v>18.8160128525765</v>
      </c>
      <c r="Q130" s="3" t="str">
        <f t="shared" ref="Q130:Q193" si="20">TEXT(B130,"YYYY-MM")</f>
        <v>2025-01</v>
      </c>
    </row>
    <row r="131" customHeight="1" spans="1:17">
      <c r="A131" s="3" t="str">
        <f>Raw_Data!A131</f>
        <v>C0420</v>
      </c>
      <c r="B131" s="4">
        <f>Raw_Data!B131</f>
        <v>45688</v>
      </c>
      <c r="C131" s="3" t="str">
        <f>Raw_Data!C131</f>
        <v>LinkedIn</v>
      </c>
      <c r="D131" s="3" t="str">
        <f>Raw_Data!D131</f>
        <v>North</v>
      </c>
      <c r="E131" s="5">
        <f>Raw_Data!E131</f>
        <v>6441.16</v>
      </c>
      <c r="F131" s="5">
        <f>Raw_Data!F131</f>
        <v>5277</v>
      </c>
      <c r="G131" s="3">
        <f>Raw_Data!G131</f>
        <v>143676</v>
      </c>
      <c r="H131" s="3">
        <f>Raw_Data!H131</f>
        <v>6117</v>
      </c>
      <c r="I131" s="3">
        <f>Raw_Data!I131</f>
        <v>461</v>
      </c>
      <c r="J131" s="5">
        <f>Raw_Data!J131</f>
        <v>17268.66</v>
      </c>
      <c r="K131" s="6">
        <f t="shared" si="14"/>
        <v>0.0425749603274033</v>
      </c>
      <c r="L131" s="5">
        <f t="shared" si="15"/>
        <v>0.862677783227072</v>
      </c>
      <c r="M131" s="5">
        <f t="shared" si="16"/>
        <v>11.4468546637744</v>
      </c>
      <c r="N131" s="7">
        <f t="shared" si="17"/>
        <v>3.27243888573053</v>
      </c>
      <c r="O131" s="5">
        <f t="shared" si="18"/>
        <v>11991.66</v>
      </c>
      <c r="P131" s="8">
        <f t="shared" si="19"/>
        <v>69.441751705112</v>
      </c>
      <c r="Q131" s="3" t="str">
        <f t="shared" si="20"/>
        <v>2025-01</v>
      </c>
    </row>
    <row r="132" customHeight="1" spans="1:17">
      <c r="A132" s="3" t="str">
        <f>Raw_Data!A132</f>
        <v>C0218</v>
      </c>
      <c r="B132" s="4">
        <f>Raw_Data!B132</f>
        <v>45689</v>
      </c>
      <c r="C132" s="3" t="str">
        <f>Raw_Data!C132</f>
        <v>Twitter</v>
      </c>
      <c r="D132" s="3" t="str">
        <f>Raw_Data!D132</f>
        <v>West</v>
      </c>
      <c r="E132" s="5">
        <f>Raw_Data!E132</f>
        <v>6759.75</v>
      </c>
      <c r="F132" s="5">
        <f>Raw_Data!F132</f>
        <v>6597.87</v>
      </c>
      <c r="G132" s="3">
        <f>Raw_Data!G132</f>
        <v>167465</v>
      </c>
      <c r="H132" s="3">
        <f>Raw_Data!H132</f>
        <v>5881</v>
      </c>
      <c r="I132" s="3">
        <f>Raw_Data!I132</f>
        <v>966</v>
      </c>
      <c r="J132" s="5">
        <f>Raw_Data!J132</f>
        <v>40922.84</v>
      </c>
      <c r="K132" s="6">
        <f t="shared" si="14"/>
        <v>0.0351177858059893</v>
      </c>
      <c r="L132" s="5">
        <f t="shared" si="15"/>
        <v>1.12189593606529</v>
      </c>
      <c r="M132" s="5">
        <f t="shared" si="16"/>
        <v>6.83009316770186</v>
      </c>
      <c r="N132" s="7">
        <f t="shared" si="17"/>
        <v>6.20243199699297</v>
      </c>
      <c r="O132" s="5">
        <f t="shared" si="18"/>
        <v>34324.97</v>
      </c>
      <c r="P132" s="8">
        <f t="shared" si="19"/>
        <v>83.8772919963522</v>
      </c>
      <c r="Q132" s="3" t="str">
        <f t="shared" si="20"/>
        <v>2025-02</v>
      </c>
    </row>
    <row r="133" customHeight="1" spans="1:17">
      <c r="A133" s="3" t="str">
        <f>Raw_Data!A133</f>
        <v>C0418</v>
      </c>
      <c r="B133" s="4">
        <f>Raw_Data!B133</f>
        <v>45690</v>
      </c>
      <c r="C133" s="3" t="str">
        <f>Raw_Data!C133</f>
        <v>Instagram</v>
      </c>
      <c r="D133" s="3" t="str">
        <f>Raw_Data!D133</f>
        <v>South</v>
      </c>
      <c r="E133" s="5">
        <f>Raw_Data!E133</f>
        <v>6370.66</v>
      </c>
      <c r="F133" s="5">
        <f>Raw_Data!F133</f>
        <v>5320.73</v>
      </c>
      <c r="G133" s="3">
        <f>Raw_Data!G133</f>
        <v>84061</v>
      </c>
      <c r="H133" s="3">
        <f>Raw_Data!H133</f>
        <v>1539</v>
      </c>
      <c r="I133" s="3">
        <f>Raw_Data!I133</f>
        <v>177</v>
      </c>
      <c r="J133" s="5">
        <f>Raw_Data!J133</f>
        <v>4204.74</v>
      </c>
      <c r="K133" s="6">
        <f t="shared" si="14"/>
        <v>0.0183081333793317</v>
      </c>
      <c r="L133" s="5">
        <f t="shared" si="15"/>
        <v>3.4572644574399</v>
      </c>
      <c r="M133" s="5">
        <f t="shared" si="16"/>
        <v>30.0606214689266</v>
      </c>
      <c r="N133" s="7">
        <f t="shared" si="17"/>
        <v>0.790256224239907</v>
      </c>
      <c r="O133" s="5">
        <f t="shared" si="18"/>
        <v>-1115.99</v>
      </c>
      <c r="P133" s="8">
        <f t="shared" si="19"/>
        <v>-26.5412367946651</v>
      </c>
      <c r="Q133" s="3" t="str">
        <f t="shared" si="20"/>
        <v>2025-02</v>
      </c>
    </row>
    <row r="134" customHeight="1" spans="1:17">
      <c r="A134" s="3" t="str">
        <f>Raw_Data!A134</f>
        <v>C0034</v>
      </c>
      <c r="B134" s="4">
        <f>Raw_Data!B134</f>
        <v>45690</v>
      </c>
      <c r="C134" s="3" t="str">
        <f>Raw_Data!C134</f>
        <v>LinkedIn</v>
      </c>
      <c r="D134" s="3" t="str">
        <f>Raw_Data!D134</f>
        <v>South</v>
      </c>
      <c r="E134" s="5">
        <f>Raw_Data!E134</f>
        <v>3755.24</v>
      </c>
      <c r="F134" s="5">
        <f>Raw_Data!F134</f>
        <v>3039.6</v>
      </c>
      <c r="G134" s="3">
        <f>Raw_Data!G134</f>
        <v>188839</v>
      </c>
      <c r="H134" s="3">
        <f>Raw_Data!H134</f>
        <v>7836</v>
      </c>
      <c r="I134" s="3">
        <f>Raw_Data!I134</f>
        <v>1477</v>
      </c>
      <c r="J134" s="5">
        <f>Raw_Data!J134</f>
        <v>57739.35</v>
      </c>
      <c r="K134" s="6">
        <f t="shared" si="14"/>
        <v>0.0414956656199196</v>
      </c>
      <c r="L134" s="5">
        <f t="shared" si="15"/>
        <v>0.387901990811639</v>
      </c>
      <c r="M134" s="5">
        <f t="shared" si="16"/>
        <v>2.05795531482735</v>
      </c>
      <c r="N134" s="7">
        <f t="shared" si="17"/>
        <v>18.9957066719305</v>
      </c>
      <c r="O134" s="5">
        <f t="shared" si="18"/>
        <v>54699.75</v>
      </c>
      <c r="P134" s="8">
        <f t="shared" si="19"/>
        <v>94.7356525489116</v>
      </c>
      <c r="Q134" s="3" t="str">
        <f t="shared" si="20"/>
        <v>2025-02</v>
      </c>
    </row>
    <row r="135" customHeight="1" spans="1:17">
      <c r="A135" s="3" t="str">
        <f>Raw_Data!A135</f>
        <v>C0490</v>
      </c>
      <c r="B135" s="4">
        <f>Raw_Data!B135</f>
        <v>45690</v>
      </c>
      <c r="C135" s="3" t="str">
        <f>Raw_Data!C135</f>
        <v>LinkedIn</v>
      </c>
      <c r="D135" s="3" t="str">
        <f>Raw_Data!D135</f>
        <v>South</v>
      </c>
      <c r="E135" s="5">
        <f>Raw_Data!E135</f>
        <v>5848.36</v>
      </c>
      <c r="F135" s="5">
        <f>Raw_Data!F135</f>
        <v>6206.43</v>
      </c>
      <c r="G135" s="3">
        <f>Raw_Data!G135</f>
        <v>166799</v>
      </c>
      <c r="H135" s="3">
        <f>Raw_Data!H135</f>
        <v>6009</v>
      </c>
      <c r="I135" s="3">
        <f>Raw_Data!I135</f>
        <v>332</v>
      </c>
      <c r="J135" s="5">
        <f>Raw_Data!J135</f>
        <v>14432.56</v>
      </c>
      <c r="K135" s="6">
        <f t="shared" si="14"/>
        <v>0.0360253958357065</v>
      </c>
      <c r="L135" s="5">
        <f t="shared" si="15"/>
        <v>1.03285571642536</v>
      </c>
      <c r="M135" s="5">
        <f t="shared" si="16"/>
        <v>18.6940662650602</v>
      </c>
      <c r="N135" s="7">
        <f t="shared" si="17"/>
        <v>2.32542057189076</v>
      </c>
      <c r="O135" s="5">
        <f t="shared" si="18"/>
        <v>8226.13</v>
      </c>
      <c r="P135" s="8">
        <f t="shared" si="19"/>
        <v>56.9970261686076</v>
      </c>
      <c r="Q135" s="3" t="str">
        <f t="shared" si="20"/>
        <v>2025-02</v>
      </c>
    </row>
    <row r="136" customHeight="1" spans="1:17">
      <c r="A136" s="3" t="str">
        <f>Raw_Data!A136</f>
        <v>C0104</v>
      </c>
      <c r="B136" s="4">
        <f>Raw_Data!B136</f>
        <v>45690</v>
      </c>
      <c r="C136" s="3" t="str">
        <f>Raw_Data!C136</f>
        <v>LinkedIn</v>
      </c>
      <c r="D136" s="3" t="str">
        <f>Raw_Data!D136</f>
        <v>East</v>
      </c>
      <c r="E136" s="5">
        <f>Raw_Data!E136</f>
        <v>4895.83</v>
      </c>
      <c r="F136" s="5">
        <f>Raw_Data!F136</f>
        <v>4561.4</v>
      </c>
      <c r="G136" s="3">
        <f>Raw_Data!G136</f>
        <v>151629</v>
      </c>
      <c r="H136" s="3">
        <f>Raw_Data!H136</f>
        <v>4739</v>
      </c>
      <c r="I136" s="3">
        <f>Raw_Data!I136</f>
        <v>583</v>
      </c>
      <c r="J136" s="5">
        <f>Raw_Data!J136</f>
        <v>13032.2</v>
      </c>
      <c r="K136" s="6">
        <f t="shared" si="14"/>
        <v>0.0312539158076621</v>
      </c>
      <c r="L136" s="5">
        <f t="shared" si="15"/>
        <v>0.962523739185482</v>
      </c>
      <c r="M136" s="5">
        <f t="shared" si="16"/>
        <v>7.82401372212693</v>
      </c>
      <c r="N136" s="7">
        <f t="shared" si="17"/>
        <v>2.85706142850879</v>
      </c>
      <c r="O136" s="5">
        <f t="shared" si="18"/>
        <v>8470.8</v>
      </c>
      <c r="P136" s="8">
        <f t="shared" si="19"/>
        <v>64.9990024708031</v>
      </c>
      <c r="Q136" s="3" t="str">
        <f t="shared" si="20"/>
        <v>2025-02</v>
      </c>
    </row>
    <row r="137" customHeight="1" spans="1:17">
      <c r="A137" s="3" t="str">
        <f>Raw_Data!A137</f>
        <v>C0009</v>
      </c>
      <c r="B137" s="4">
        <f>Raw_Data!B137</f>
        <v>45690</v>
      </c>
      <c r="C137" s="3" t="str">
        <f>Raw_Data!C137</f>
        <v>Twitter</v>
      </c>
      <c r="D137" s="3" t="str">
        <f>Raw_Data!D137</f>
        <v>West</v>
      </c>
      <c r="E137" s="5">
        <f>Raw_Data!E137</f>
        <v>6192.49</v>
      </c>
      <c r="F137" s="5">
        <f>Raw_Data!F137</f>
        <v>6412.65</v>
      </c>
      <c r="G137" s="3">
        <f>Raw_Data!G137</f>
        <v>53911</v>
      </c>
      <c r="H137" s="3">
        <f>Raw_Data!H137</f>
        <v>2127</v>
      </c>
      <c r="I137" s="3">
        <f>Raw_Data!I137</f>
        <v>315</v>
      </c>
      <c r="J137" s="5">
        <f>Raw_Data!J137</f>
        <v>8186.92</v>
      </c>
      <c r="K137" s="6">
        <f t="shared" si="14"/>
        <v>0.0394539147854798</v>
      </c>
      <c r="L137" s="5">
        <f t="shared" si="15"/>
        <v>3.01488011283498</v>
      </c>
      <c r="M137" s="5">
        <f t="shared" si="16"/>
        <v>20.357619047619</v>
      </c>
      <c r="N137" s="7">
        <f t="shared" si="17"/>
        <v>1.27668280664</v>
      </c>
      <c r="O137" s="5">
        <f t="shared" si="18"/>
        <v>1774.27</v>
      </c>
      <c r="P137" s="8">
        <f t="shared" si="19"/>
        <v>21.672008520909</v>
      </c>
      <c r="Q137" s="3" t="str">
        <f t="shared" si="20"/>
        <v>2025-02</v>
      </c>
    </row>
    <row r="138" customHeight="1" spans="1:17">
      <c r="A138" s="3" t="str">
        <f>Raw_Data!A138</f>
        <v>C0243</v>
      </c>
      <c r="B138" s="4">
        <f>Raw_Data!B138</f>
        <v>45691</v>
      </c>
      <c r="C138" s="3" t="str">
        <f>Raw_Data!C138</f>
        <v>LinkedIn</v>
      </c>
      <c r="D138" s="3" t="str">
        <f>Raw_Data!D138</f>
        <v>South</v>
      </c>
      <c r="E138" s="5">
        <f>Raw_Data!E138</f>
        <v>3978.41</v>
      </c>
      <c r="F138" s="5">
        <f>Raw_Data!F138</f>
        <v>4131.9</v>
      </c>
      <c r="G138" s="3">
        <f>Raw_Data!G138</f>
        <v>70430</v>
      </c>
      <c r="H138" s="3">
        <f>Raw_Data!H138</f>
        <v>2036</v>
      </c>
      <c r="I138" s="3">
        <f>Raw_Data!I138</f>
        <v>76</v>
      </c>
      <c r="J138" s="5">
        <f>Raw_Data!J138</f>
        <v>1979.71</v>
      </c>
      <c r="K138" s="6">
        <f t="shared" si="14"/>
        <v>0.0289081357376118</v>
      </c>
      <c r="L138" s="5">
        <f t="shared" si="15"/>
        <v>2.02942043222004</v>
      </c>
      <c r="M138" s="5">
        <f t="shared" si="16"/>
        <v>54.3671052631579</v>
      </c>
      <c r="N138" s="7">
        <f t="shared" si="17"/>
        <v>0.479128246085336</v>
      </c>
      <c r="O138" s="5">
        <f t="shared" si="18"/>
        <v>-2152.19</v>
      </c>
      <c r="P138" s="8">
        <f t="shared" si="19"/>
        <v>-108.712387167817</v>
      </c>
      <c r="Q138" s="3" t="str">
        <f t="shared" si="20"/>
        <v>2025-02</v>
      </c>
    </row>
    <row r="139" customHeight="1" spans="1:17">
      <c r="A139" s="3" t="str">
        <f>Raw_Data!A139</f>
        <v>C0016</v>
      </c>
      <c r="B139" s="4">
        <f>Raw_Data!B139</f>
        <v>45691</v>
      </c>
      <c r="C139" s="3" t="str">
        <f>Raw_Data!C139</f>
        <v>Google Ads</v>
      </c>
      <c r="D139" s="3" t="str">
        <f>Raw_Data!D139</f>
        <v>West</v>
      </c>
      <c r="E139" s="5">
        <f>Raw_Data!E139</f>
        <v>7637.66</v>
      </c>
      <c r="F139" s="5">
        <f>Raw_Data!F139</f>
        <v>6824.35</v>
      </c>
      <c r="G139" s="3">
        <f>Raw_Data!G139</f>
        <v>59367</v>
      </c>
      <c r="H139" s="3">
        <f>Raw_Data!H139</f>
        <v>1348</v>
      </c>
      <c r="I139" s="3">
        <f>Raw_Data!I139</f>
        <v>152</v>
      </c>
      <c r="J139" s="5">
        <f>Raw_Data!J139</f>
        <v>5411.51</v>
      </c>
      <c r="K139" s="6">
        <f t="shared" si="14"/>
        <v>0.0227062172587464</v>
      </c>
      <c r="L139" s="5">
        <f t="shared" si="15"/>
        <v>5.06257418397626</v>
      </c>
      <c r="M139" s="5">
        <f t="shared" si="16"/>
        <v>44.8970394736842</v>
      </c>
      <c r="N139" s="7">
        <f t="shared" si="17"/>
        <v>0.792970759119916</v>
      </c>
      <c r="O139" s="5">
        <f t="shared" si="18"/>
        <v>-1412.84</v>
      </c>
      <c r="P139" s="8">
        <f t="shared" si="19"/>
        <v>-26.1080548682346</v>
      </c>
      <c r="Q139" s="3" t="str">
        <f t="shared" si="20"/>
        <v>2025-02</v>
      </c>
    </row>
    <row r="140" customHeight="1" spans="1:17">
      <c r="A140" s="3" t="str">
        <f>Raw_Data!A140</f>
        <v>C0152</v>
      </c>
      <c r="B140" s="4">
        <f>Raw_Data!B140</f>
        <v>45691</v>
      </c>
      <c r="C140" s="3" t="str">
        <f>Raw_Data!C140</f>
        <v>Facebook</v>
      </c>
      <c r="D140" s="3" t="str">
        <f>Raw_Data!D140</f>
        <v>West</v>
      </c>
      <c r="E140" s="5">
        <f>Raw_Data!E140</f>
        <v>9344.48</v>
      </c>
      <c r="F140" s="5">
        <f>Raw_Data!F140</f>
        <v>7787.31</v>
      </c>
      <c r="G140" s="3">
        <f>Raw_Data!G140</f>
        <v>168488</v>
      </c>
      <c r="H140" s="3">
        <f>Raw_Data!H140</f>
        <v>6718</v>
      </c>
      <c r="I140" s="3">
        <f>Raw_Data!I140</f>
        <v>131</v>
      </c>
      <c r="J140" s="5">
        <f>Raw_Data!J140</f>
        <v>4556.02</v>
      </c>
      <c r="K140" s="6">
        <f t="shared" si="14"/>
        <v>0.0398722757703813</v>
      </c>
      <c r="L140" s="5">
        <f t="shared" si="15"/>
        <v>1.15917088419172</v>
      </c>
      <c r="M140" s="5">
        <f t="shared" si="16"/>
        <v>59.4451145038168</v>
      </c>
      <c r="N140" s="7">
        <f t="shared" si="17"/>
        <v>0.585056970892388</v>
      </c>
      <c r="O140" s="5">
        <f t="shared" si="18"/>
        <v>-3231.29</v>
      </c>
      <c r="P140" s="8">
        <f t="shared" si="19"/>
        <v>-70.9235253576586</v>
      </c>
      <c r="Q140" s="3" t="str">
        <f t="shared" si="20"/>
        <v>2025-02</v>
      </c>
    </row>
    <row r="141" customHeight="1" spans="1:17">
      <c r="A141" s="3" t="str">
        <f>Raw_Data!A141</f>
        <v>C0252</v>
      </c>
      <c r="B141" s="4">
        <f>Raw_Data!B141</f>
        <v>45692</v>
      </c>
      <c r="C141" s="3" t="str">
        <f>Raw_Data!C141</f>
        <v>Twitter</v>
      </c>
      <c r="D141" s="3" t="str">
        <f>Raw_Data!D141</f>
        <v>North</v>
      </c>
      <c r="E141" s="5">
        <f>Raw_Data!E141</f>
        <v>5344.34</v>
      </c>
      <c r="F141" s="5">
        <f>Raw_Data!F141</f>
        <v>4498.77</v>
      </c>
      <c r="G141" s="3">
        <f>Raw_Data!G141</f>
        <v>141042</v>
      </c>
      <c r="H141" s="3">
        <f>Raw_Data!H141</f>
        <v>2816</v>
      </c>
      <c r="I141" s="3">
        <f>Raw_Data!I141</f>
        <v>230</v>
      </c>
      <c r="J141" s="5">
        <f>Raw_Data!J141</f>
        <v>10078.77</v>
      </c>
      <c r="K141" s="6">
        <f t="shared" si="14"/>
        <v>0.0199656839806582</v>
      </c>
      <c r="L141" s="5">
        <f t="shared" si="15"/>
        <v>1.59757457386364</v>
      </c>
      <c r="M141" s="5">
        <f t="shared" si="16"/>
        <v>19.5598695652174</v>
      </c>
      <c r="N141" s="7">
        <f t="shared" si="17"/>
        <v>2.24033902600044</v>
      </c>
      <c r="O141" s="5">
        <f t="shared" si="18"/>
        <v>5580</v>
      </c>
      <c r="P141" s="8">
        <f t="shared" si="19"/>
        <v>55.3638985709566</v>
      </c>
      <c r="Q141" s="3" t="str">
        <f t="shared" si="20"/>
        <v>2025-02</v>
      </c>
    </row>
    <row r="142" customHeight="1" spans="1:17">
      <c r="A142" s="3" t="str">
        <f>Raw_Data!A142</f>
        <v>C0372</v>
      </c>
      <c r="B142" s="4">
        <f>Raw_Data!B142</f>
        <v>45692</v>
      </c>
      <c r="C142" s="3" t="str">
        <f>Raw_Data!C142</f>
        <v>Instagram</v>
      </c>
      <c r="D142" s="3" t="str">
        <f>Raw_Data!D142</f>
        <v>North</v>
      </c>
      <c r="E142" s="5">
        <f>Raw_Data!E142</f>
        <v>6758.82</v>
      </c>
      <c r="F142" s="5">
        <f>Raw_Data!F142</f>
        <v>6609.33</v>
      </c>
      <c r="G142" s="3">
        <f>Raw_Data!G142</f>
        <v>56417</v>
      </c>
      <c r="H142" s="3">
        <f>Raw_Data!H142</f>
        <v>2121</v>
      </c>
      <c r="I142" s="3">
        <f>Raw_Data!I142</f>
        <v>213</v>
      </c>
      <c r="J142" s="5">
        <f>Raw_Data!J142</f>
        <v>7966.75</v>
      </c>
      <c r="K142" s="6">
        <f t="shared" si="14"/>
        <v>0.0375950511370686</v>
      </c>
      <c r="L142" s="5">
        <f t="shared" si="15"/>
        <v>3.11613861386139</v>
      </c>
      <c r="M142" s="5">
        <f t="shared" si="16"/>
        <v>31.0297183098592</v>
      </c>
      <c r="N142" s="7">
        <f t="shared" si="17"/>
        <v>1.20537936523067</v>
      </c>
      <c r="O142" s="5">
        <f t="shared" si="18"/>
        <v>1357.42</v>
      </c>
      <c r="P142" s="8">
        <f t="shared" si="19"/>
        <v>17.038566542191</v>
      </c>
      <c r="Q142" s="3" t="str">
        <f t="shared" si="20"/>
        <v>2025-02</v>
      </c>
    </row>
    <row r="143" customHeight="1" spans="1:17">
      <c r="A143" s="3" t="str">
        <f>Raw_Data!A143</f>
        <v>C0381</v>
      </c>
      <c r="B143" s="4">
        <f>Raw_Data!B143</f>
        <v>45693</v>
      </c>
      <c r="C143" s="3" t="str">
        <f>Raw_Data!C143</f>
        <v>Twitter</v>
      </c>
      <c r="D143" s="3" t="str">
        <f>Raw_Data!D143</f>
        <v>North</v>
      </c>
      <c r="E143" s="5">
        <f>Raw_Data!E143</f>
        <v>8772.77</v>
      </c>
      <c r="F143" s="5">
        <f>Raw_Data!F143</f>
        <v>7933.59</v>
      </c>
      <c r="G143" s="3">
        <f>Raw_Data!G143</f>
        <v>165044</v>
      </c>
      <c r="H143" s="3">
        <f>Raw_Data!H143</f>
        <v>3343</v>
      </c>
      <c r="I143" s="3">
        <f>Raw_Data!I143</f>
        <v>448</v>
      </c>
      <c r="J143" s="5">
        <f>Raw_Data!J143</f>
        <v>18072.54</v>
      </c>
      <c r="K143" s="6">
        <f t="shared" si="14"/>
        <v>0.0202552046726933</v>
      </c>
      <c r="L143" s="5">
        <f t="shared" si="15"/>
        <v>2.37319473526772</v>
      </c>
      <c r="M143" s="5">
        <f t="shared" si="16"/>
        <v>17.70890625</v>
      </c>
      <c r="N143" s="7">
        <f t="shared" si="17"/>
        <v>2.27797756123016</v>
      </c>
      <c r="O143" s="5">
        <f t="shared" si="18"/>
        <v>10138.95</v>
      </c>
      <c r="P143" s="8">
        <f t="shared" si="19"/>
        <v>56.101411312411</v>
      </c>
      <c r="Q143" s="3" t="str">
        <f t="shared" si="20"/>
        <v>2025-02</v>
      </c>
    </row>
    <row r="144" customHeight="1" spans="1:17">
      <c r="A144" s="3" t="str">
        <f>Raw_Data!A144</f>
        <v>C0370</v>
      </c>
      <c r="B144" s="4">
        <f>Raw_Data!B144</f>
        <v>45693</v>
      </c>
      <c r="C144" s="3" t="str">
        <f>Raw_Data!C144</f>
        <v>Google Ads</v>
      </c>
      <c r="D144" s="3" t="str">
        <f>Raw_Data!D144</f>
        <v>East</v>
      </c>
      <c r="E144" s="5">
        <f>Raw_Data!E144</f>
        <v>8307.67</v>
      </c>
      <c r="F144" s="5">
        <f>Raw_Data!F144</f>
        <v>8380.83</v>
      </c>
      <c r="G144" s="3">
        <f>Raw_Data!G144</f>
        <v>107520</v>
      </c>
      <c r="H144" s="3">
        <f>Raw_Data!H144</f>
        <v>2601</v>
      </c>
      <c r="I144" s="3">
        <f>Raw_Data!I144</f>
        <v>369</v>
      </c>
      <c r="J144" s="5">
        <f>Raw_Data!J144</f>
        <v>9083.63</v>
      </c>
      <c r="K144" s="6">
        <f t="shared" si="14"/>
        <v>0.0241908482142857</v>
      </c>
      <c r="L144" s="5">
        <f t="shared" si="15"/>
        <v>3.2221568627451</v>
      </c>
      <c r="M144" s="5">
        <f t="shared" si="16"/>
        <v>22.7122764227642</v>
      </c>
      <c r="N144" s="7">
        <f t="shared" si="17"/>
        <v>1.08385804269983</v>
      </c>
      <c r="O144" s="5">
        <f t="shared" si="18"/>
        <v>702.799999999999</v>
      </c>
      <c r="P144" s="8">
        <f t="shared" si="19"/>
        <v>7.73699501190603</v>
      </c>
      <c r="Q144" s="3" t="str">
        <f t="shared" si="20"/>
        <v>2025-02</v>
      </c>
    </row>
    <row r="145" customHeight="1" spans="1:17">
      <c r="A145" s="3" t="str">
        <f>Raw_Data!A145</f>
        <v>C0286</v>
      </c>
      <c r="B145" s="4">
        <f>Raw_Data!B145</f>
        <v>45693</v>
      </c>
      <c r="C145" s="3" t="str">
        <f>Raw_Data!C145</f>
        <v>Instagram</v>
      </c>
      <c r="D145" s="3" t="str">
        <f>Raw_Data!D145</f>
        <v>East</v>
      </c>
      <c r="E145" s="5">
        <f>Raw_Data!E145</f>
        <v>4334.81</v>
      </c>
      <c r="F145" s="5">
        <f>Raw_Data!F145</f>
        <v>3515.38</v>
      </c>
      <c r="G145" s="3">
        <f>Raw_Data!G145</f>
        <v>78277</v>
      </c>
      <c r="H145" s="3">
        <f>Raw_Data!H145</f>
        <v>1196</v>
      </c>
      <c r="I145" s="3">
        <f>Raw_Data!I145</f>
        <v>224</v>
      </c>
      <c r="J145" s="5">
        <f>Raw_Data!J145</f>
        <v>7652.29</v>
      </c>
      <c r="K145" s="6">
        <f t="shared" si="14"/>
        <v>0.0152790730355021</v>
      </c>
      <c r="L145" s="5">
        <f t="shared" si="15"/>
        <v>2.93928093645485</v>
      </c>
      <c r="M145" s="5">
        <f t="shared" si="16"/>
        <v>15.6936607142857</v>
      </c>
      <c r="N145" s="7">
        <f t="shared" si="17"/>
        <v>2.17680307676553</v>
      </c>
      <c r="O145" s="5">
        <f t="shared" si="18"/>
        <v>4136.91</v>
      </c>
      <c r="P145" s="8">
        <f t="shared" si="19"/>
        <v>54.0610719144204</v>
      </c>
      <c r="Q145" s="3" t="str">
        <f t="shared" si="20"/>
        <v>2025-02</v>
      </c>
    </row>
    <row r="146" customHeight="1" spans="1:17">
      <c r="A146" s="3" t="str">
        <f>Raw_Data!A146</f>
        <v>C0049</v>
      </c>
      <c r="B146" s="4">
        <f>Raw_Data!B146</f>
        <v>45693</v>
      </c>
      <c r="C146" s="3" t="str">
        <f>Raw_Data!C146</f>
        <v>Facebook</v>
      </c>
      <c r="D146" s="3" t="str">
        <f>Raw_Data!D146</f>
        <v>North</v>
      </c>
      <c r="E146" s="5">
        <f>Raw_Data!E146</f>
        <v>4993.88</v>
      </c>
      <c r="F146" s="5">
        <f>Raw_Data!F146</f>
        <v>4050.37</v>
      </c>
      <c r="G146" s="3">
        <f>Raw_Data!G146</f>
        <v>61208</v>
      </c>
      <c r="H146" s="3">
        <f>Raw_Data!H146</f>
        <v>3037</v>
      </c>
      <c r="I146" s="3">
        <f>Raw_Data!I146</f>
        <v>504</v>
      </c>
      <c r="J146" s="5">
        <f>Raw_Data!J146</f>
        <v>19296.61</v>
      </c>
      <c r="K146" s="6">
        <f t="shared" si="14"/>
        <v>0.0496176970330676</v>
      </c>
      <c r="L146" s="5">
        <f t="shared" si="15"/>
        <v>1.3336746789595</v>
      </c>
      <c r="M146" s="5">
        <f t="shared" si="16"/>
        <v>8.03644841269841</v>
      </c>
      <c r="N146" s="7">
        <f t="shared" si="17"/>
        <v>4.76415981749815</v>
      </c>
      <c r="O146" s="5">
        <f t="shared" si="18"/>
        <v>15246.24</v>
      </c>
      <c r="P146" s="8">
        <f t="shared" si="19"/>
        <v>79.0099400879222</v>
      </c>
      <c r="Q146" s="3" t="str">
        <f t="shared" si="20"/>
        <v>2025-02</v>
      </c>
    </row>
    <row r="147" customHeight="1" spans="1:17">
      <c r="A147" s="3" t="str">
        <f>Raw_Data!A147</f>
        <v>C0086</v>
      </c>
      <c r="B147" s="4">
        <f>Raw_Data!B147</f>
        <v>45693</v>
      </c>
      <c r="C147" s="3" t="str">
        <f>Raw_Data!C147</f>
        <v>Google Ads</v>
      </c>
      <c r="D147" s="3" t="str">
        <f>Raw_Data!D147</f>
        <v>North</v>
      </c>
      <c r="E147" s="5">
        <f>Raw_Data!E147</f>
        <v>6897.61</v>
      </c>
      <c r="F147" s="5">
        <f>Raw_Data!F147</f>
        <v>7455.26</v>
      </c>
      <c r="G147" s="3">
        <f>Raw_Data!G147</f>
        <v>141755</v>
      </c>
      <c r="H147" s="3">
        <f>Raw_Data!H147</f>
        <v>1695</v>
      </c>
      <c r="I147" s="3">
        <f>Raw_Data!I147</f>
        <v>122</v>
      </c>
      <c r="J147" s="5">
        <f>Raw_Data!J147</f>
        <v>4987.47</v>
      </c>
      <c r="K147" s="6">
        <f t="shared" si="14"/>
        <v>0.0119572501851787</v>
      </c>
      <c r="L147" s="5">
        <f t="shared" si="15"/>
        <v>4.39838348082596</v>
      </c>
      <c r="M147" s="5">
        <f t="shared" si="16"/>
        <v>61.1086885245902</v>
      </c>
      <c r="N147" s="7">
        <f t="shared" si="17"/>
        <v>0.668986728833066</v>
      </c>
      <c r="O147" s="5">
        <f t="shared" si="18"/>
        <v>-2467.79</v>
      </c>
      <c r="P147" s="8">
        <f t="shared" si="19"/>
        <v>-49.4797963697025</v>
      </c>
      <c r="Q147" s="3" t="str">
        <f t="shared" si="20"/>
        <v>2025-02</v>
      </c>
    </row>
    <row r="148" customHeight="1" spans="1:17">
      <c r="A148" s="3" t="str">
        <f>Raw_Data!A148</f>
        <v>C0360</v>
      </c>
      <c r="B148" s="4">
        <f>Raw_Data!B148</f>
        <v>45693</v>
      </c>
      <c r="C148" s="3" t="str">
        <f>Raw_Data!C148</f>
        <v>Instagram</v>
      </c>
      <c r="D148" s="3" t="str">
        <f>Raw_Data!D148</f>
        <v>South</v>
      </c>
      <c r="E148" s="5">
        <f>Raw_Data!E148</f>
        <v>7757.53</v>
      </c>
      <c r="F148" s="5">
        <f>Raw_Data!F148</f>
        <v>6713.96</v>
      </c>
      <c r="G148" s="3">
        <f>Raw_Data!G148</f>
        <v>134861</v>
      </c>
      <c r="H148" s="3">
        <f>Raw_Data!H148</f>
        <v>3399</v>
      </c>
      <c r="I148" s="3">
        <f>Raw_Data!I148</f>
        <v>139</v>
      </c>
      <c r="J148" s="5">
        <f>Raw_Data!J148</f>
        <v>6741.34</v>
      </c>
      <c r="K148" s="6">
        <f t="shared" si="14"/>
        <v>0.0252037282831953</v>
      </c>
      <c r="L148" s="5">
        <f t="shared" si="15"/>
        <v>1.97527508090615</v>
      </c>
      <c r="M148" s="5">
        <f t="shared" si="16"/>
        <v>48.3018705035971</v>
      </c>
      <c r="N148" s="7">
        <f t="shared" si="17"/>
        <v>1.00407807017021</v>
      </c>
      <c r="O148" s="5">
        <f t="shared" si="18"/>
        <v>27.3800000000001</v>
      </c>
      <c r="P148" s="8">
        <f t="shared" si="19"/>
        <v>0.406150705942737</v>
      </c>
      <c r="Q148" s="3" t="str">
        <f t="shared" si="20"/>
        <v>2025-02</v>
      </c>
    </row>
    <row r="149" customHeight="1" spans="1:17">
      <c r="A149" s="3" t="str">
        <f>Raw_Data!A149</f>
        <v>C0366</v>
      </c>
      <c r="B149" s="4">
        <f>Raw_Data!B149</f>
        <v>45694</v>
      </c>
      <c r="C149" s="3" t="str">
        <f>Raw_Data!C149</f>
        <v>Twitter</v>
      </c>
      <c r="D149" s="3" t="str">
        <f>Raw_Data!D149</f>
        <v>West</v>
      </c>
      <c r="E149" s="5">
        <f>Raw_Data!E149</f>
        <v>4235.7</v>
      </c>
      <c r="F149" s="5">
        <f>Raw_Data!F149</f>
        <v>3668.73</v>
      </c>
      <c r="G149" s="3">
        <f>Raw_Data!G149</f>
        <v>76927</v>
      </c>
      <c r="H149" s="3">
        <f>Raw_Data!H149</f>
        <v>1398</v>
      </c>
      <c r="I149" s="3">
        <f>Raw_Data!I149</f>
        <v>241</v>
      </c>
      <c r="J149" s="5">
        <f>Raw_Data!J149</f>
        <v>6167.95</v>
      </c>
      <c r="K149" s="6">
        <f t="shared" si="14"/>
        <v>0.0181730731732682</v>
      </c>
      <c r="L149" s="5">
        <f t="shared" si="15"/>
        <v>2.62427038626609</v>
      </c>
      <c r="M149" s="5">
        <f t="shared" si="16"/>
        <v>15.2229460580913</v>
      </c>
      <c r="N149" s="7">
        <f t="shared" si="17"/>
        <v>1.68122211228409</v>
      </c>
      <c r="O149" s="5">
        <f t="shared" si="18"/>
        <v>2499.22</v>
      </c>
      <c r="P149" s="8">
        <f t="shared" si="19"/>
        <v>40.5194594638413</v>
      </c>
      <c r="Q149" s="3" t="str">
        <f t="shared" si="20"/>
        <v>2025-02</v>
      </c>
    </row>
    <row r="150" customHeight="1" spans="1:17">
      <c r="A150" s="3" t="str">
        <f>Raw_Data!A150</f>
        <v>C0257</v>
      </c>
      <c r="B150" s="4">
        <f>Raw_Data!B150</f>
        <v>45695</v>
      </c>
      <c r="C150" s="3" t="str">
        <f>Raw_Data!C150</f>
        <v>Instagram</v>
      </c>
      <c r="D150" s="3" t="str">
        <f>Raw_Data!D150</f>
        <v>South</v>
      </c>
      <c r="E150" s="5">
        <f>Raw_Data!E150</f>
        <v>5394.57</v>
      </c>
      <c r="F150" s="5">
        <f>Raw_Data!F150</f>
        <v>5644.76</v>
      </c>
      <c r="G150" s="3">
        <f>Raw_Data!G150</f>
        <v>192983</v>
      </c>
      <c r="H150" s="3">
        <f>Raw_Data!H150</f>
        <v>4396</v>
      </c>
      <c r="I150" s="3">
        <f>Raw_Data!I150</f>
        <v>677</v>
      </c>
      <c r="J150" s="5">
        <f>Raw_Data!J150</f>
        <v>15786.93</v>
      </c>
      <c r="K150" s="6">
        <f t="shared" si="14"/>
        <v>0.0227792085313214</v>
      </c>
      <c r="L150" s="5">
        <f t="shared" si="15"/>
        <v>1.28406733393995</v>
      </c>
      <c r="M150" s="5">
        <f t="shared" si="16"/>
        <v>8.33790251107829</v>
      </c>
      <c r="N150" s="7">
        <f t="shared" si="17"/>
        <v>2.79674069402419</v>
      </c>
      <c r="O150" s="5">
        <f t="shared" si="18"/>
        <v>10142.17</v>
      </c>
      <c r="P150" s="8">
        <f t="shared" si="19"/>
        <v>64.2440930567248</v>
      </c>
      <c r="Q150" s="3" t="str">
        <f t="shared" si="20"/>
        <v>2025-02</v>
      </c>
    </row>
    <row r="151" customHeight="1" spans="1:17">
      <c r="A151" s="3" t="str">
        <f>Raw_Data!A151</f>
        <v>C0331</v>
      </c>
      <c r="B151" s="4">
        <f>Raw_Data!B151</f>
        <v>45695</v>
      </c>
      <c r="C151" s="3" t="str">
        <f>Raw_Data!C151</f>
        <v>Google Ads</v>
      </c>
      <c r="D151" s="3" t="str">
        <f>Raw_Data!D151</f>
        <v>South</v>
      </c>
      <c r="E151" s="5">
        <f>Raw_Data!E151</f>
        <v>8595.91</v>
      </c>
      <c r="F151" s="5">
        <f>Raw_Data!F151</f>
        <v>8668.19</v>
      </c>
      <c r="G151" s="3">
        <f>Raw_Data!G151</f>
        <v>149998</v>
      </c>
      <c r="H151" s="3">
        <f>Raw_Data!H151</f>
        <v>5998</v>
      </c>
      <c r="I151" s="3">
        <f>Raw_Data!I151</f>
        <v>629</v>
      </c>
      <c r="J151" s="5">
        <f>Raw_Data!J151</f>
        <v>17715.38</v>
      </c>
      <c r="K151" s="6">
        <f t="shared" si="14"/>
        <v>0.0399871998293311</v>
      </c>
      <c r="L151" s="5">
        <f t="shared" si="15"/>
        <v>1.44518006002001</v>
      </c>
      <c r="M151" s="5">
        <f t="shared" si="16"/>
        <v>13.780906200318</v>
      </c>
      <c r="N151" s="7">
        <f t="shared" si="17"/>
        <v>2.04372308405792</v>
      </c>
      <c r="O151" s="5">
        <f t="shared" si="18"/>
        <v>9047.19</v>
      </c>
      <c r="P151" s="8">
        <f t="shared" si="19"/>
        <v>51.0696919851564</v>
      </c>
      <c r="Q151" s="3" t="str">
        <f t="shared" si="20"/>
        <v>2025-02</v>
      </c>
    </row>
    <row r="152" customHeight="1" spans="1:17">
      <c r="A152" s="3" t="str">
        <f>Raw_Data!A152</f>
        <v>C0487</v>
      </c>
      <c r="B152" s="4">
        <f>Raw_Data!B152</f>
        <v>45695</v>
      </c>
      <c r="C152" s="3" t="str">
        <f>Raw_Data!C152</f>
        <v>Instagram</v>
      </c>
      <c r="D152" s="3" t="str">
        <f>Raw_Data!D152</f>
        <v>North</v>
      </c>
      <c r="E152" s="5">
        <f>Raw_Data!E152</f>
        <v>4509.73</v>
      </c>
      <c r="F152" s="5">
        <f>Raw_Data!F152</f>
        <v>4499.2</v>
      </c>
      <c r="G152" s="3">
        <f>Raw_Data!G152</f>
        <v>147771</v>
      </c>
      <c r="H152" s="3">
        <f>Raw_Data!H152</f>
        <v>5682</v>
      </c>
      <c r="I152" s="3">
        <f>Raw_Data!I152</f>
        <v>699</v>
      </c>
      <c r="J152" s="5">
        <f>Raw_Data!J152</f>
        <v>22239.34</v>
      </c>
      <c r="K152" s="6">
        <f t="shared" si="14"/>
        <v>0.0384513876200337</v>
      </c>
      <c r="L152" s="5">
        <f t="shared" si="15"/>
        <v>0.791833861316438</v>
      </c>
      <c r="M152" s="5">
        <f t="shared" si="16"/>
        <v>6.43662374821173</v>
      </c>
      <c r="N152" s="7">
        <f t="shared" si="17"/>
        <v>4.9429543029872</v>
      </c>
      <c r="O152" s="5">
        <f t="shared" si="18"/>
        <v>17740.14</v>
      </c>
      <c r="P152" s="8">
        <f t="shared" si="19"/>
        <v>79.7691837977206</v>
      </c>
      <c r="Q152" s="3" t="str">
        <f t="shared" si="20"/>
        <v>2025-02</v>
      </c>
    </row>
    <row r="153" customHeight="1" spans="1:17">
      <c r="A153" s="3" t="str">
        <f>Raw_Data!A153</f>
        <v>C0181</v>
      </c>
      <c r="B153" s="4">
        <f>Raw_Data!B153</f>
        <v>45696</v>
      </c>
      <c r="C153" s="3" t="str">
        <f>Raw_Data!C153</f>
        <v>Instagram</v>
      </c>
      <c r="D153" s="3" t="str">
        <f>Raw_Data!D153</f>
        <v>North</v>
      </c>
      <c r="E153" s="5">
        <f>Raw_Data!E153</f>
        <v>9678.36</v>
      </c>
      <c r="F153" s="5">
        <f>Raw_Data!F153</f>
        <v>9502.72</v>
      </c>
      <c r="G153" s="3">
        <f>Raw_Data!G153</f>
        <v>72317</v>
      </c>
      <c r="H153" s="3">
        <f>Raw_Data!H153</f>
        <v>1429</v>
      </c>
      <c r="I153" s="3">
        <f>Raw_Data!I153</f>
        <v>157</v>
      </c>
      <c r="J153" s="5">
        <f>Raw_Data!J153</f>
        <v>4216.91</v>
      </c>
      <c r="K153" s="6">
        <f t="shared" si="14"/>
        <v>0.0197602223543565</v>
      </c>
      <c r="L153" s="5">
        <f t="shared" si="15"/>
        <v>6.64990902729181</v>
      </c>
      <c r="M153" s="5">
        <f t="shared" si="16"/>
        <v>60.5268789808917</v>
      </c>
      <c r="N153" s="7">
        <f t="shared" si="17"/>
        <v>0.443758208176185</v>
      </c>
      <c r="O153" s="5">
        <f t="shared" si="18"/>
        <v>-5285.81</v>
      </c>
      <c r="P153" s="8">
        <f t="shared" si="19"/>
        <v>-125.347944347876</v>
      </c>
      <c r="Q153" s="3" t="str">
        <f t="shared" si="20"/>
        <v>2025-02</v>
      </c>
    </row>
    <row r="154" customHeight="1" spans="1:17">
      <c r="A154" s="3" t="str">
        <f>Raw_Data!A154</f>
        <v>C0406</v>
      </c>
      <c r="B154" s="4">
        <f>Raw_Data!B154</f>
        <v>45696</v>
      </c>
      <c r="C154" s="3" t="str">
        <f>Raw_Data!C154</f>
        <v>Twitter</v>
      </c>
      <c r="D154" s="3" t="str">
        <f>Raw_Data!D154</f>
        <v>East</v>
      </c>
      <c r="E154" s="5">
        <f>Raw_Data!E154</f>
        <v>4545.39</v>
      </c>
      <c r="F154" s="5">
        <f>Raw_Data!F154</f>
        <v>3748.65</v>
      </c>
      <c r="G154" s="3">
        <f>Raw_Data!G154</f>
        <v>63940</v>
      </c>
      <c r="H154" s="3">
        <f>Raw_Data!H154</f>
        <v>2107</v>
      </c>
      <c r="I154" s="3">
        <f>Raw_Data!I154</f>
        <v>352</v>
      </c>
      <c r="J154" s="5">
        <f>Raw_Data!J154</f>
        <v>14226.07</v>
      </c>
      <c r="K154" s="6">
        <f t="shared" si="14"/>
        <v>0.0329527682202064</v>
      </c>
      <c r="L154" s="5">
        <f t="shared" si="15"/>
        <v>1.77914095870906</v>
      </c>
      <c r="M154" s="5">
        <f t="shared" si="16"/>
        <v>10.6495738636364</v>
      </c>
      <c r="N154" s="7">
        <f t="shared" si="17"/>
        <v>3.7949848612167</v>
      </c>
      <c r="O154" s="5">
        <f t="shared" si="18"/>
        <v>10477.42</v>
      </c>
      <c r="P154" s="8">
        <f t="shared" si="19"/>
        <v>73.6494337508532</v>
      </c>
      <c r="Q154" s="3" t="str">
        <f t="shared" si="20"/>
        <v>2025-02</v>
      </c>
    </row>
    <row r="155" customHeight="1" spans="1:17">
      <c r="A155" s="3" t="str">
        <f>Raw_Data!A155</f>
        <v>C0431</v>
      </c>
      <c r="B155" s="4">
        <f>Raw_Data!B155</f>
        <v>45697</v>
      </c>
      <c r="C155" s="3" t="str">
        <f>Raw_Data!C155</f>
        <v>Twitter</v>
      </c>
      <c r="D155" s="3" t="str">
        <f>Raw_Data!D155</f>
        <v>South</v>
      </c>
      <c r="E155" s="5">
        <f>Raw_Data!E155</f>
        <v>5778.46</v>
      </c>
      <c r="F155" s="5">
        <f>Raw_Data!F155</f>
        <v>4852.84</v>
      </c>
      <c r="G155" s="3">
        <f>Raw_Data!G155</f>
        <v>102748</v>
      </c>
      <c r="H155" s="3">
        <f>Raw_Data!H155</f>
        <v>1293</v>
      </c>
      <c r="I155" s="3">
        <f>Raw_Data!I155</f>
        <v>60</v>
      </c>
      <c r="J155" s="5">
        <f>Raw_Data!J155</f>
        <v>2221.57</v>
      </c>
      <c r="K155" s="6">
        <f t="shared" si="14"/>
        <v>0.0125841865535096</v>
      </c>
      <c r="L155" s="5">
        <f t="shared" si="15"/>
        <v>3.75316318638824</v>
      </c>
      <c r="M155" s="5">
        <f t="shared" si="16"/>
        <v>80.8806666666667</v>
      </c>
      <c r="N155" s="7">
        <f t="shared" si="17"/>
        <v>0.457787604784003</v>
      </c>
      <c r="O155" s="5">
        <f t="shared" si="18"/>
        <v>-2631.27</v>
      </c>
      <c r="P155" s="8">
        <f t="shared" si="19"/>
        <v>-118.441912701378</v>
      </c>
      <c r="Q155" s="3" t="str">
        <f t="shared" si="20"/>
        <v>2025-02</v>
      </c>
    </row>
    <row r="156" customHeight="1" spans="1:17">
      <c r="A156" s="3" t="str">
        <f>Raw_Data!A156</f>
        <v>C0119</v>
      </c>
      <c r="B156" s="4">
        <f>Raw_Data!B156</f>
        <v>45697</v>
      </c>
      <c r="C156" s="3" t="str">
        <f>Raw_Data!C156</f>
        <v>LinkedIn</v>
      </c>
      <c r="D156" s="3" t="str">
        <f>Raw_Data!D156</f>
        <v>East</v>
      </c>
      <c r="E156" s="5">
        <f>Raw_Data!E156</f>
        <v>3493.98</v>
      </c>
      <c r="F156" s="5">
        <f>Raw_Data!F156</f>
        <v>3468.56</v>
      </c>
      <c r="G156" s="3">
        <f>Raw_Data!G156</f>
        <v>149919</v>
      </c>
      <c r="H156" s="3">
        <f>Raw_Data!H156</f>
        <v>5922</v>
      </c>
      <c r="I156" s="3">
        <f>Raw_Data!I156</f>
        <v>705</v>
      </c>
      <c r="J156" s="5">
        <f>Raw_Data!J156</f>
        <v>14660.71</v>
      </c>
      <c r="K156" s="6">
        <f t="shared" si="14"/>
        <v>0.039501330718588</v>
      </c>
      <c r="L156" s="5">
        <f t="shared" si="15"/>
        <v>0.585707531239446</v>
      </c>
      <c r="M156" s="5">
        <f t="shared" si="16"/>
        <v>4.91994326241135</v>
      </c>
      <c r="N156" s="7">
        <f t="shared" si="17"/>
        <v>4.22674250986</v>
      </c>
      <c r="O156" s="5">
        <f t="shared" si="18"/>
        <v>11192.15</v>
      </c>
      <c r="P156" s="8">
        <f t="shared" si="19"/>
        <v>76.3411185406437</v>
      </c>
      <c r="Q156" s="3" t="str">
        <f t="shared" si="20"/>
        <v>2025-02</v>
      </c>
    </row>
    <row r="157" customHeight="1" spans="1:17">
      <c r="A157" s="3" t="str">
        <f>Raw_Data!A157</f>
        <v>C0391</v>
      </c>
      <c r="B157" s="4">
        <f>Raw_Data!B157</f>
        <v>45697</v>
      </c>
      <c r="C157" s="3" t="str">
        <f>Raw_Data!C157</f>
        <v>Google Ads</v>
      </c>
      <c r="D157" s="3" t="str">
        <f>Raw_Data!D157</f>
        <v>West</v>
      </c>
      <c r="E157" s="5">
        <f>Raw_Data!E157</f>
        <v>7318.49</v>
      </c>
      <c r="F157" s="5">
        <f>Raw_Data!F157</f>
        <v>8009.03</v>
      </c>
      <c r="G157" s="3">
        <f>Raw_Data!G157</f>
        <v>140986</v>
      </c>
      <c r="H157" s="3">
        <f>Raw_Data!H157</f>
        <v>2922</v>
      </c>
      <c r="I157" s="3">
        <f>Raw_Data!I157</f>
        <v>339</v>
      </c>
      <c r="J157" s="5">
        <f>Raw_Data!J157</f>
        <v>13205.54</v>
      </c>
      <c r="K157" s="6">
        <f t="shared" si="14"/>
        <v>0.0207254621026201</v>
      </c>
      <c r="L157" s="5">
        <f t="shared" si="15"/>
        <v>2.74094113620808</v>
      </c>
      <c r="M157" s="5">
        <f t="shared" si="16"/>
        <v>23.6254572271386</v>
      </c>
      <c r="N157" s="7">
        <f t="shared" si="17"/>
        <v>1.64883138157804</v>
      </c>
      <c r="O157" s="5">
        <f t="shared" si="18"/>
        <v>5196.51</v>
      </c>
      <c r="P157" s="8">
        <f t="shared" si="19"/>
        <v>39.3509845110461</v>
      </c>
      <c r="Q157" s="3" t="str">
        <f t="shared" si="20"/>
        <v>2025-02</v>
      </c>
    </row>
    <row r="158" customHeight="1" spans="1:17">
      <c r="A158" s="3" t="str">
        <f>Raw_Data!A158</f>
        <v>C0070</v>
      </c>
      <c r="B158" s="4">
        <f>Raw_Data!B158</f>
        <v>45698</v>
      </c>
      <c r="C158" s="3" t="str">
        <f>Raw_Data!C158</f>
        <v>Facebook</v>
      </c>
      <c r="D158" s="3" t="str">
        <f>Raw_Data!D158</f>
        <v>West</v>
      </c>
      <c r="E158" s="5">
        <f>Raw_Data!E158</f>
        <v>7644.51</v>
      </c>
      <c r="F158" s="5">
        <f>Raw_Data!F158</f>
        <v>6127.22</v>
      </c>
      <c r="G158" s="3">
        <f>Raw_Data!G158</f>
        <v>191486</v>
      </c>
      <c r="H158" s="3">
        <f>Raw_Data!H158</f>
        <v>4445</v>
      </c>
      <c r="I158" s="3">
        <f>Raw_Data!I158</f>
        <v>80</v>
      </c>
      <c r="J158" s="5">
        <f>Raw_Data!J158</f>
        <v>1985.94</v>
      </c>
      <c r="K158" s="6">
        <f t="shared" si="14"/>
        <v>0.0232131852981419</v>
      </c>
      <c r="L158" s="5">
        <f t="shared" si="15"/>
        <v>1.37845219347582</v>
      </c>
      <c r="M158" s="5">
        <f t="shared" si="16"/>
        <v>76.59025</v>
      </c>
      <c r="N158" s="7">
        <f t="shared" si="17"/>
        <v>0.324117625938027</v>
      </c>
      <c r="O158" s="5">
        <f t="shared" si="18"/>
        <v>-4141.28</v>
      </c>
      <c r="P158" s="8">
        <f t="shared" si="19"/>
        <v>-208.52996565858</v>
      </c>
      <c r="Q158" s="3" t="str">
        <f t="shared" si="20"/>
        <v>2025-02</v>
      </c>
    </row>
    <row r="159" customHeight="1" spans="1:17">
      <c r="A159" s="3" t="str">
        <f>Raw_Data!A159</f>
        <v>C0373</v>
      </c>
      <c r="B159" s="4">
        <f>Raw_Data!B159</f>
        <v>45698</v>
      </c>
      <c r="C159" s="3" t="str">
        <f>Raw_Data!C159</f>
        <v>Facebook</v>
      </c>
      <c r="D159" s="3" t="str">
        <f>Raw_Data!D159</f>
        <v>South</v>
      </c>
      <c r="E159" s="5">
        <f>Raw_Data!E159</f>
        <v>3640.41</v>
      </c>
      <c r="F159" s="5">
        <f>Raw_Data!F159</f>
        <v>3870.62</v>
      </c>
      <c r="G159" s="3">
        <f>Raw_Data!G159</f>
        <v>133159</v>
      </c>
      <c r="H159" s="3">
        <f>Raw_Data!H159</f>
        <v>6315</v>
      </c>
      <c r="I159" s="3">
        <f>Raw_Data!I159</f>
        <v>1233</v>
      </c>
      <c r="J159" s="5">
        <f>Raw_Data!J159</f>
        <v>34484.55</v>
      </c>
      <c r="K159" s="6">
        <f t="shared" si="14"/>
        <v>0.0474245075436133</v>
      </c>
      <c r="L159" s="5">
        <f t="shared" si="15"/>
        <v>0.61292478226445</v>
      </c>
      <c r="M159" s="5">
        <f t="shared" si="16"/>
        <v>3.13918896999189</v>
      </c>
      <c r="N159" s="7">
        <f t="shared" si="17"/>
        <v>8.90930910293442</v>
      </c>
      <c r="O159" s="5">
        <f t="shared" si="18"/>
        <v>30613.93</v>
      </c>
      <c r="P159" s="8">
        <f t="shared" si="19"/>
        <v>88.7757850979642</v>
      </c>
      <c r="Q159" s="3" t="str">
        <f t="shared" si="20"/>
        <v>2025-02</v>
      </c>
    </row>
    <row r="160" customHeight="1" spans="1:17">
      <c r="A160" s="3" t="str">
        <f>Raw_Data!A160</f>
        <v>C0164</v>
      </c>
      <c r="B160" s="4">
        <f>Raw_Data!B160</f>
        <v>45698</v>
      </c>
      <c r="C160" s="3" t="str">
        <f>Raw_Data!C160</f>
        <v>LinkedIn</v>
      </c>
      <c r="D160" s="3" t="str">
        <f>Raw_Data!D160</f>
        <v>West</v>
      </c>
      <c r="E160" s="5">
        <f>Raw_Data!E160</f>
        <v>9231.85</v>
      </c>
      <c r="F160" s="5">
        <f>Raw_Data!F160</f>
        <v>8647.45</v>
      </c>
      <c r="G160" s="3">
        <f>Raw_Data!G160</f>
        <v>53244</v>
      </c>
      <c r="H160" s="3">
        <f>Raw_Data!H160</f>
        <v>1838</v>
      </c>
      <c r="I160" s="3">
        <f>Raw_Data!I160</f>
        <v>273</v>
      </c>
      <c r="J160" s="5">
        <f>Raw_Data!J160</f>
        <v>10538.89</v>
      </c>
      <c r="K160" s="6">
        <f t="shared" si="14"/>
        <v>0.0345203215385771</v>
      </c>
      <c r="L160" s="5">
        <f t="shared" si="15"/>
        <v>4.70481501632209</v>
      </c>
      <c r="M160" s="5">
        <f t="shared" si="16"/>
        <v>31.675641025641</v>
      </c>
      <c r="N160" s="7">
        <f t="shared" si="17"/>
        <v>1.21872806434267</v>
      </c>
      <c r="O160" s="5">
        <f t="shared" si="18"/>
        <v>1891.44</v>
      </c>
      <c r="P160" s="8">
        <f t="shared" si="19"/>
        <v>17.9472411231164</v>
      </c>
      <c r="Q160" s="3" t="str">
        <f t="shared" si="20"/>
        <v>2025-02</v>
      </c>
    </row>
    <row r="161" customHeight="1" spans="1:17">
      <c r="A161" s="3" t="str">
        <f>Raw_Data!A161</f>
        <v>C0101</v>
      </c>
      <c r="B161" s="4">
        <f>Raw_Data!B161</f>
        <v>45698</v>
      </c>
      <c r="C161" s="3" t="str">
        <f>Raw_Data!C161</f>
        <v>Google Ads</v>
      </c>
      <c r="D161" s="3" t="str">
        <f>Raw_Data!D161</f>
        <v>East</v>
      </c>
      <c r="E161" s="5">
        <f>Raw_Data!E161</f>
        <v>3361.77</v>
      </c>
      <c r="F161" s="5">
        <f>Raw_Data!F161</f>
        <v>3225.3</v>
      </c>
      <c r="G161" s="3">
        <f>Raw_Data!G161</f>
        <v>147591</v>
      </c>
      <c r="H161" s="3">
        <f>Raw_Data!H161</f>
        <v>4755</v>
      </c>
      <c r="I161" s="3">
        <f>Raw_Data!I161</f>
        <v>277</v>
      </c>
      <c r="J161" s="5">
        <f>Raw_Data!J161</f>
        <v>10032.68</v>
      </c>
      <c r="K161" s="6">
        <f t="shared" si="14"/>
        <v>0.0322174116307905</v>
      </c>
      <c r="L161" s="5">
        <f t="shared" si="15"/>
        <v>0.678296529968454</v>
      </c>
      <c r="M161" s="5">
        <f t="shared" si="16"/>
        <v>11.6436823104693</v>
      </c>
      <c r="N161" s="7">
        <f t="shared" si="17"/>
        <v>3.11061916720925</v>
      </c>
      <c r="O161" s="5">
        <f t="shared" si="18"/>
        <v>6807.38</v>
      </c>
      <c r="P161" s="8">
        <f t="shared" si="19"/>
        <v>67.8520594696532</v>
      </c>
      <c r="Q161" s="3" t="str">
        <f t="shared" si="20"/>
        <v>2025-02</v>
      </c>
    </row>
    <row r="162" customHeight="1" spans="1:17">
      <c r="A162" s="3" t="str">
        <f>Raw_Data!A162</f>
        <v>C0128</v>
      </c>
      <c r="B162" s="4">
        <f>Raw_Data!B162</f>
        <v>45698</v>
      </c>
      <c r="C162" s="3" t="str">
        <f>Raw_Data!C162</f>
        <v>LinkedIn</v>
      </c>
      <c r="D162" s="3" t="str">
        <f>Raw_Data!D162</f>
        <v>North</v>
      </c>
      <c r="E162" s="5">
        <f>Raw_Data!E162</f>
        <v>7877.16</v>
      </c>
      <c r="F162" s="5">
        <f>Raw_Data!F162</f>
        <v>7788.01</v>
      </c>
      <c r="G162" s="3">
        <f>Raw_Data!G162</f>
        <v>129840</v>
      </c>
      <c r="H162" s="3">
        <f>Raw_Data!H162</f>
        <v>5797</v>
      </c>
      <c r="I162" s="3">
        <f>Raw_Data!I162</f>
        <v>480</v>
      </c>
      <c r="J162" s="5">
        <f>Raw_Data!J162</f>
        <v>22235.6</v>
      </c>
      <c r="K162" s="6">
        <f t="shared" si="14"/>
        <v>0.044647258163894</v>
      </c>
      <c r="L162" s="5">
        <f t="shared" si="15"/>
        <v>1.34345523546662</v>
      </c>
      <c r="M162" s="5">
        <f t="shared" si="16"/>
        <v>16.2250208333333</v>
      </c>
      <c r="N162" s="7">
        <f t="shared" si="17"/>
        <v>2.85510676026353</v>
      </c>
      <c r="O162" s="5">
        <f t="shared" si="18"/>
        <v>14447.59</v>
      </c>
      <c r="P162" s="8">
        <f t="shared" si="19"/>
        <v>64.9750400259044</v>
      </c>
      <c r="Q162" s="3" t="str">
        <f t="shared" si="20"/>
        <v>2025-02</v>
      </c>
    </row>
    <row r="163" customHeight="1" spans="1:17">
      <c r="A163" s="3" t="str">
        <f>Raw_Data!A163</f>
        <v>C0495</v>
      </c>
      <c r="B163" s="4">
        <f>Raw_Data!B163</f>
        <v>45698</v>
      </c>
      <c r="C163" s="3" t="str">
        <f>Raw_Data!C163</f>
        <v>LinkedIn</v>
      </c>
      <c r="D163" s="3" t="str">
        <f>Raw_Data!D163</f>
        <v>North</v>
      </c>
      <c r="E163" s="5">
        <f>Raw_Data!E163</f>
        <v>6811.42</v>
      </c>
      <c r="F163" s="5">
        <f>Raw_Data!F163</f>
        <v>5460.9</v>
      </c>
      <c r="G163" s="3">
        <f>Raw_Data!G163</f>
        <v>73610</v>
      </c>
      <c r="H163" s="3">
        <f>Raw_Data!H163</f>
        <v>2346</v>
      </c>
      <c r="I163" s="3">
        <f>Raw_Data!I163</f>
        <v>170</v>
      </c>
      <c r="J163" s="5">
        <f>Raw_Data!J163</f>
        <v>5055.39</v>
      </c>
      <c r="K163" s="6">
        <f t="shared" si="14"/>
        <v>0.0318706697459584</v>
      </c>
      <c r="L163" s="5">
        <f t="shared" si="15"/>
        <v>2.32774936061381</v>
      </c>
      <c r="M163" s="5">
        <f t="shared" si="16"/>
        <v>32.1229411764706</v>
      </c>
      <c r="N163" s="7">
        <f t="shared" si="17"/>
        <v>0.925743009394056</v>
      </c>
      <c r="O163" s="5">
        <f t="shared" si="18"/>
        <v>-405.509999999999</v>
      </c>
      <c r="P163" s="8">
        <f t="shared" si="19"/>
        <v>-8.02133959991216</v>
      </c>
      <c r="Q163" s="3" t="str">
        <f t="shared" si="20"/>
        <v>2025-02</v>
      </c>
    </row>
    <row r="164" customHeight="1" spans="1:17">
      <c r="A164" s="3" t="str">
        <f>Raw_Data!A164</f>
        <v>C0497</v>
      </c>
      <c r="B164" s="4">
        <f>Raw_Data!B164</f>
        <v>45699</v>
      </c>
      <c r="C164" s="3" t="str">
        <f>Raw_Data!C164</f>
        <v>Instagram</v>
      </c>
      <c r="D164" s="3" t="str">
        <f>Raw_Data!D164</f>
        <v>North</v>
      </c>
      <c r="E164" s="5">
        <f>Raw_Data!E164</f>
        <v>5719.91</v>
      </c>
      <c r="F164" s="5">
        <f>Raw_Data!F164</f>
        <v>5345.87</v>
      </c>
      <c r="G164" s="3">
        <f>Raw_Data!G164</f>
        <v>152621</v>
      </c>
      <c r="H164" s="3">
        <f>Raw_Data!H164</f>
        <v>2741</v>
      </c>
      <c r="I164" s="3">
        <f>Raw_Data!I164</f>
        <v>345</v>
      </c>
      <c r="J164" s="5">
        <f>Raw_Data!J164</f>
        <v>9358.58</v>
      </c>
      <c r="K164" s="6">
        <f t="shared" si="14"/>
        <v>0.0179595206426376</v>
      </c>
      <c r="L164" s="5">
        <f t="shared" si="15"/>
        <v>1.95033564392557</v>
      </c>
      <c r="M164" s="5">
        <f t="shared" si="16"/>
        <v>15.4952753623188</v>
      </c>
      <c r="N164" s="7">
        <f t="shared" si="17"/>
        <v>1.75061870191381</v>
      </c>
      <c r="O164" s="5">
        <f t="shared" si="18"/>
        <v>4012.71</v>
      </c>
      <c r="P164" s="8">
        <f t="shared" si="19"/>
        <v>42.8773382286629</v>
      </c>
      <c r="Q164" s="3" t="str">
        <f t="shared" si="20"/>
        <v>2025-02</v>
      </c>
    </row>
    <row r="165" customHeight="1" spans="1:17">
      <c r="A165" s="3" t="str">
        <f>Raw_Data!A165</f>
        <v>C0384</v>
      </c>
      <c r="B165" s="4">
        <f>Raw_Data!B165</f>
        <v>45699</v>
      </c>
      <c r="C165" s="3" t="str">
        <f>Raw_Data!C165</f>
        <v>Facebook</v>
      </c>
      <c r="D165" s="3" t="str">
        <f>Raw_Data!D165</f>
        <v>North</v>
      </c>
      <c r="E165" s="5">
        <f>Raw_Data!E165</f>
        <v>9071.06</v>
      </c>
      <c r="F165" s="5">
        <f>Raw_Data!F165</f>
        <v>9184.53</v>
      </c>
      <c r="G165" s="3">
        <f>Raw_Data!G165</f>
        <v>172320</v>
      </c>
      <c r="H165" s="3">
        <f>Raw_Data!H165</f>
        <v>5189</v>
      </c>
      <c r="I165" s="3">
        <f>Raw_Data!I165</f>
        <v>470</v>
      </c>
      <c r="J165" s="5">
        <f>Raw_Data!J165</f>
        <v>21201.89</v>
      </c>
      <c r="K165" s="6">
        <f t="shared" si="14"/>
        <v>0.0301125812441968</v>
      </c>
      <c r="L165" s="5">
        <f t="shared" si="15"/>
        <v>1.77</v>
      </c>
      <c r="M165" s="5">
        <f t="shared" si="16"/>
        <v>19.5415531914894</v>
      </c>
      <c r="N165" s="7">
        <f t="shared" si="17"/>
        <v>2.30843494441196</v>
      </c>
      <c r="O165" s="5">
        <f t="shared" si="18"/>
        <v>12017.36</v>
      </c>
      <c r="P165" s="8">
        <f t="shared" si="19"/>
        <v>56.6806072477501</v>
      </c>
      <c r="Q165" s="3" t="str">
        <f t="shared" si="20"/>
        <v>2025-02</v>
      </c>
    </row>
    <row r="166" customHeight="1" spans="1:17">
      <c r="A166" s="3" t="str">
        <f>Raw_Data!A166</f>
        <v>C0148</v>
      </c>
      <c r="B166" s="4">
        <f>Raw_Data!B166</f>
        <v>45700</v>
      </c>
      <c r="C166" s="3" t="str">
        <f>Raw_Data!C166</f>
        <v>LinkedIn</v>
      </c>
      <c r="D166" s="3" t="str">
        <f>Raw_Data!D166</f>
        <v>North</v>
      </c>
      <c r="E166" s="5">
        <f>Raw_Data!E166</f>
        <v>9906.48</v>
      </c>
      <c r="F166" s="5">
        <f>Raw_Data!F166</f>
        <v>9037.5</v>
      </c>
      <c r="G166" s="3">
        <f>Raw_Data!G166</f>
        <v>130404</v>
      </c>
      <c r="H166" s="3">
        <f>Raw_Data!H166</f>
        <v>3053</v>
      </c>
      <c r="I166" s="3">
        <f>Raw_Data!I166</f>
        <v>159</v>
      </c>
      <c r="J166" s="5">
        <f>Raw_Data!J166</f>
        <v>4947.96</v>
      </c>
      <c r="K166" s="6">
        <f t="shared" si="14"/>
        <v>0.0234118585319469</v>
      </c>
      <c r="L166" s="5">
        <f t="shared" si="15"/>
        <v>2.96020307893875</v>
      </c>
      <c r="M166" s="5">
        <f t="shared" si="16"/>
        <v>56.8396226415094</v>
      </c>
      <c r="N166" s="7">
        <f t="shared" si="17"/>
        <v>0.547492116182573</v>
      </c>
      <c r="O166" s="5">
        <f t="shared" si="18"/>
        <v>-4089.54</v>
      </c>
      <c r="P166" s="8">
        <f t="shared" si="19"/>
        <v>-82.6510319404361</v>
      </c>
      <c r="Q166" s="3" t="str">
        <f t="shared" si="20"/>
        <v>2025-02</v>
      </c>
    </row>
    <row r="167" customHeight="1" spans="1:17">
      <c r="A167" s="3" t="str">
        <f>Raw_Data!A167</f>
        <v>C0037</v>
      </c>
      <c r="B167" s="4">
        <f>Raw_Data!B167</f>
        <v>45701</v>
      </c>
      <c r="C167" s="3" t="str">
        <f>Raw_Data!C167</f>
        <v>Facebook</v>
      </c>
      <c r="D167" s="3" t="str">
        <f>Raw_Data!D167</f>
        <v>North</v>
      </c>
      <c r="E167" s="5">
        <f>Raw_Data!E167</f>
        <v>4601.59</v>
      </c>
      <c r="F167" s="5">
        <f>Raw_Data!F167</f>
        <v>3787.54</v>
      </c>
      <c r="G167" s="3">
        <f>Raw_Data!G167</f>
        <v>78896</v>
      </c>
      <c r="H167" s="3">
        <f>Raw_Data!H167</f>
        <v>1812</v>
      </c>
      <c r="I167" s="3">
        <f>Raw_Data!I167</f>
        <v>219</v>
      </c>
      <c r="J167" s="5">
        <f>Raw_Data!J167</f>
        <v>6283.67</v>
      </c>
      <c r="K167" s="6">
        <f t="shared" si="14"/>
        <v>0.022966943824782</v>
      </c>
      <c r="L167" s="5">
        <f t="shared" si="15"/>
        <v>2.09025386313466</v>
      </c>
      <c r="M167" s="5">
        <f t="shared" si="16"/>
        <v>17.294703196347</v>
      </c>
      <c r="N167" s="7">
        <f t="shared" si="17"/>
        <v>1.65903726429292</v>
      </c>
      <c r="O167" s="5">
        <f t="shared" si="18"/>
        <v>2496.13</v>
      </c>
      <c r="P167" s="8">
        <f t="shared" si="19"/>
        <v>39.7240784446032</v>
      </c>
      <c r="Q167" s="3" t="str">
        <f t="shared" si="20"/>
        <v>2025-02</v>
      </c>
    </row>
    <row r="168" customHeight="1" spans="1:17">
      <c r="A168" s="3" t="str">
        <f>Raw_Data!A168</f>
        <v>C0041</v>
      </c>
      <c r="B168" s="4">
        <f>Raw_Data!B168</f>
        <v>45701</v>
      </c>
      <c r="C168" s="3" t="str">
        <f>Raw_Data!C168</f>
        <v>Instagram</v>
      </c>
      <c r="D168" s="3" t="str">
        <f>Raw_Data!D168</f>
        <v>West</v>
      </c>
      <c r="E168" s="5">
        <f>Raw_Data!E168</f>
        <v>8652.08</v>
      </c>
      <c r="F168" s="5">
        <f>Raw_Data!F168</f>
        <v>9247.58</v>
      </c>
      <c r="G168" s="3">
        <f>Raw_Data!G168</f>
        <v>177534</v>
      </c>
      <c r="H168" s="3">
        <f>Raw_Data!H168</f>
        <v>2754</v>
      </c>
      <c r="I168" s="3">
        <f>Raw_Data!I168</f>
        <v>206</v>
      </c>
      <c r="J168" s="5">
        <f>Raw_Data!J168</f>
        <v>6085.26</v>
      </c>
      <c r="K168" s="6">
        <f t="shared" si="14"/>
        <v>0.0155125215451688</v>
      </c>
      <c r="L168" s="5">
        <f t="shared" si="15"/>
        <v>3.3578721859114</v>
      </c>
      <c r="M168" s="5">
        <f t="shared" si="16"/>
        <v>44.8911650485437</v>
      </c>
      <c r="N168" s="7">
        <f t="shared" si="17"/>
        <v>0.658038102941526</v>
      </c>
      <c r="O168" s="5">
        <f t="shared" si="18"/>
        <v>-3162.32</v>
      </c>
      <c r="P168" s="8">
        <f t="shared" si="19"/>
        <v>-51.9668839129306</v>
      </c>
      <c r="Q168" s="3" t="str">
        <f t="shared" si="20"/>
        <v>2025-02</v>
      </c>
    </row>
    <row r="169" customHeight="1" spans="1:17">
      <c r="A169" s="3" t="str">
        <f>Raw_Data!A169</f>
        <v>C0246</v>
      </c>
      <c r="B169" s="4">
        <f>Raw_Data!B169</f>
        <v>45701</v>
      </c>
      <c r="C169" s="3" t="str">
        <f>Raw_Data!C169</f>
        <v>Google Ads</v>
      </c>
      <c r="D169" s="3" t="str">
        <f>Raw_Data!D169</f>
        <v>West</v>
      </c>
      <c r="E169" s="5">
        <f>Raw_Data!E169</f>
        <v>9140.4</v>
      </c>
      <c r="F169" s="5">
        <f>Raw_Data!F169</f>
        <v>8388.45</v>
      </c>
      <c r="G169" s="3">
        <f>Raw_Data!G169</f>
        <v>136646</v>
      </c>
      <c r="H169" s="3">
        <f>Raw_Data!H169</f>
        <v>2540</v>
      </c>
      <c r="I169" s="3">
        <f>Raw_Data!I169</f>
        <v>494</v>
      </c>
      <c r="J169" s="5">
        <f>Raw_Data!J169</f>
        <v>21982</v>
      </c>
      <c r="K169" s="6">
        <f t="shared" si="14"/>
        <v>0.0185881767486791</v>
      </c>
      <c r="L169" s="5">
        <f t="shared" si="15"/>
        <v>3.30253937007874</v>
      </c>
      <c r="M169" s="5">
        <f t="shared" si="16"/>
        <v>16.9806680161943</v>
      </c>
      <c r="N169" s="7">
        <f t="shared" si="17"/>
        <v>2.62050796035024</v>
      </c>
      <c r="O169" s="5">
        <f t="shared" si="18"/>
        <v>13593.55</v>
      </c>
      <c r="P169" s="8">
        <f t="shared" si="19"/>
        <v>61.83945955782</v>
      </c>
      <c r="Q169" s="3" t="str">
        <f t="shared" si="20"/>
        <v>2025-02</v>
      </c>
    </row>
    <row r="170" customHeight="1" spans="1:17">
      <c r="A170" s="3" t="str">
        <f>Raw_Data!A170</f>
        <v>C0083</v>
      </c>
      <c r="B170" s="4">
        <f>Raw_Data!B170</f>
        <v>45701</v>
      </c>
      <c r="C170" s="3" t="str">
        <f>Raw_Data!C170</f>
        <v>LinkedIn</v>
      </c>
      <c r="D170" s="3" t="str">
        <f>Raw_Data!D170</f>
        <v>West</v>
      </c>
      <c r="E170" s="5">
        <f>Raw_Data!E170</f>
        <v>5997.29</v>
      </c>
      <c r="F170" s="5">
        <f>Raw_Data!F170</f>
        <v>6537.02</v>
      </c>
      <c r="G170" s="3">
        <f>Raw_Data!G170</f>
        <v>138325</v>
      </c>
      <c r="H170" s="3">
        <f>Raw_Data!H170</f>
        <v>4027</v>
      </c>
      <c r="I170" s="3">
        <f>Raw_Data!I170</f>
        <v>453</v>
      </c>
      <c r="J170" s="5">
        <f>Raw_Data!J170</f>
        <v>22155.6</v>
      </c>
      <c r="K170" s="6">
        <f t="shared" si="14"/>
        <v>0.0291125971444063</v>
      </c>
      <c r="L170" s="5">
        <f t="shared" si="15"/>
        <v>1.62329774025329</v>
      </c>
      <c r="M170" s="5">
        <f t="shared" si="16"/>
        <v>14.4305077262693</v>
      </c>
      <c r="N170" s="7">
        <f t="shared" si="17"/>
        <v>3.38925075952039</v>
      </c>
      <c r="O170" s="5">
        <f t="shared" si="18"/>
        <v>15618.58</v>
      </c>
      <c r="P170" s="8">
        <f t="shared" si="19"/>
        <v>70.4949538717074</v>
      </c>
      <c r="Q170" s="3" t="str">
        <f t="shared" si="20"/>
        <v>2025-02</v>
      </c>
    </row>
    <row r="171" customHeight="1" spans="1:17">
      <c r="A171" s="3" t="str">
        <f>Raw_Data!A171</f>
        <v>C0297</v>
      </c>
      <c r="B171" s="4">
        <f>Raw_Data!B171</f>
        <v>45702</v>
      </c>
      <c r="C171" s="3" t="str">
        <f>Raw_Data!C171</f>
        <v>LinkedIn</v>
      </c>
      <c r="D171" s="3" t="str">
        <f>Raw_Data!D171</f>
        <v>North</v>
      </c>
      <c r="E171" s="5">
        <f>Raw_Data!E171</f>
        <v>3696.09</v>
      </c>
      <c r="F171" s="5">
        <f>Raw_Data!F171</f>
        <v>3226.51</v>
      </c>
      <c r="G171" s="3">
        <f>Raw_Data!G171</f>
        <v>99410</v>
      </c>
      <c r="H171" s="3">
        <f>Raw_Data!H171</f>
        <v>4795</v>
      </c>
      <c r="I171" s="3">
        <f>Raw_Data!I171</f>
        <v>100</v>
      </c>
      <c r="J171" s="5">
        <f>Raw_Data!J171</f>
        <v>4166.8</v>
      </c>
      <c r="K171" s="6">
        <f t="shared" si="14"/>
        <v>0.0482345840458706</v>
      </c>
      <c r="L171" s="5">
        <f t="shared" si="15"/>
        <v>0.672890510948905</v>
      </c>
      <c r="M171" s="5">
        <f t="shared" si="16"/>
        <v>32.2651</v>
      </c>
      <c r="N171" s="7">
        <f t="shared" si="17"/>
        <v>1.29142633991526</v>
      </c>
      <c r="O171" s="5">
        <f t="shared" si="18"/>
        <v>940.29</v>
      </c>
      <c r="P171" s="8">
        <f t="shared" si="19"/>
        <v>22.5662378803878</v>
      </c>
      <c r="Q171" s="3" t="str">
        <f t="shared" si="20"/>
        <v>2025-02</v>
      </c>
    </row>
    <row r="172" customHeight="1" spans="1:17">
      <c r="A172" s="3" t="str">
        <f>Raw_Data!A172</f>
        <v>C0183</v>
      </c>
      <c r="B172" s="4">
        <f>Raw_Data!B172</f>
        <v>45702</v>
      </c>
      <c r="C172" s="3" t="str">
        <f>Raw_Data!C172</f>
        <v>Twitter</v>
      </c>
      <c r="D172" s="3" t="str">
        <f>Raw_Data!D172</f>
        <v>West</v>
      </c>
      <c r="E172" s="5">
        <f>Raw_Data!E172</f>
        <v>3794.9</v>
      </c>
      <c r="F172" s="5">
        <f>Raw_Data!F172</f>
        <v>3800.49</v>
      </c>
      <c r="G172" s="3">
        <f>Raw_Data!G172</f>
        <v>123058</v>
      </c>
      <c r="H172" s="3">
        <f>Raw_Data!H172</f>
        <v>4679</v>
      </c>
      <c r="I172" s="3">
        <f>Raw_Data!I172</f>
        <v>186</v>
      </c>
      <c r="J172" s="5">
        <f>Raw_Data!J172</f>
        <v>6623.32</v>
      </c>
      <c r="K172" s="6">
        <f t="shared" si="14"/>
        <v>0.0380227209933527</v>
      </c>
      <c r="L172" s="5">
        <f t="shared" si="15"/>
        <v>0.812244069245565</v>
      </c>
      <c r="M172" s="5">
        <f t="shared" si="16"/>
        <v>20.4327419354839</v>
      </c>
      <c r="N172" s="7">
        <f t="shared" si="17"/>
        <v>1.74275422379746</v>
      </c>
      <c r="O172" s="5">
        <f t="shared" si="18"/>
        <v>2822.83</v>
      </c>
      <c r="P172" s="8">
        <f t="shared" si="19"/>
        <v>42.6195623946903</v>
      </c>
      <c r="Q172" s="3" t="str">
        <f t="shared" si="20"/>
        <v>2025-02</v>
      </c>
    </row>
    <row r="173" customHeight="1" spans="1:17">
      <c r="A173" s="3" t="str">
        <f>Raw_Data!A173</f>
        <v>C0263</v>
      </c>
      <c r="B173" s="4">
        <f>Raw_Data!B173</f>
        <v>45702</v>
      </c>
      <c r="C173" s="3" t="str">
        <f>Raw_Data!C173</f>
        <v>Instagram</v>
      </c>
      <c r="D173" s="3" t="str">
        <f>Raw_Data!D173</f>
        <v>North</v>
      </c>
      <c r="E173" s="5">
        <f>Raw_Data!E173</f>
        <v>7083.74</v>
      </c>
      <c r="F173" s="5">
        <f>Raw_Data!F173</f>
        <v>6518.85</v>
      </c>
      <c r="G173" s="3">
        <f>Raw_Data!G173</f>
        <v>166397</v>
      </c>
      <c r="H173" s="3">
        <f>Raw_Data!H173</f>
        <v>1945</v>
      </c>
      <c r="I173" s="3">
        <f>Raw_Data!I173</f>
        <v>236</v>
      </c>
      <c r="J173" s="5">
        <f>Raw_Data!J173</f>
        <v>7991</v>
      </c>
      <c r="K173" s="6">
        <f t="shared" si="14"/>
        <v>0.011688912660685</v>
      </c>
      <c r="L173" s="5">
        <f t="shared" si="15"/>
        <v>3.35159383033419</v>
      </c>
      <c r="M173" s="5">
        <f t="shared" si="16"/>
        <v>27.6222457627119</v>
      </c>
      <c r="N173" s="7">
        <f t="shared" si="17"/>
        <v>1.22582970922785</v>
      </c>
      <c r="O173" s="5">
        <f t="shared" si="18"/>
        <v>1472.15</v>
      </c>
      <c r="P173" s="8">
        <f t="shared" si="19"/>
        <v>18.4226004254787</v>
      </c>
      <c r="Q173" s="3" t="str">
        <f t="shared" si="20"/>
        <v>2025-02</v>
      </c>
    </row>
    <row r="174" customHeight="1" spans="1:17">
      <c r="A174" s="3" t="str">
        <f>Raw_Data!A174</f>
        <v>C0236</v>
      </c>
      <c r="B174" s="4">
        <f>Raw_Data!B174</f>
        <v>45702</v>
      </c>
      <c r="C174" s="3" t="str">
        <f>Raw_Data!C174</f>
        <v>Twitter</v>
      </c>
      <c r="D174" s="3" t="str">
        <f>Raw_Data!D174</f>
        <v>North</v>
      </c>
      <c r="E174" s="5">
        <f>Raw_Data!E174</f>
        <v>9929.72</v>
      </c>
      <c r="F174" s="5">
        <f>Raw_Data!F174</f>
        <v>8904.04</v>
      </c>
      <c r="G174" s="3">
        <f>Raw_Data!G174</f>
        <v>80479</v>
      </c>
      <c r="H174" s="3">
        <f>Raw_Data!H174</f>
        <v>3812</v>
      </c>
      <c r="I174" s="3">
        <f>Raw_Data!I174</f>
        <v>427</v>
      </c>
      <c r="J174" s="5">
        <f>Raw_Data!J174</f>
        <v>18914.49</v>
      </c>
      <c r="K174" s="6">
        <f t="shared" si="14"/>
        <v>0.0473663937176158</v>
      </c>
      <c r="L174" s="5">
        <f t="shared" si="15"/>
        <v>2.33579223504722</v>
      </c>
      <c r="M174" s="5">
        <f t="shared" si="16"/>
        <v>20.8525526932084</v>
      </c>
      <c r="N174" s="7">
        <f t="shared" si="17"/>
        <v>2.12425932498057</v>
      </c>
      <c r="O174" s="5">
        <f t="shared" si="18"/>
        <v>10010.45</v>
      </c>
      <c r="P174" s="8">
        <f t="shared" si="19"/>
        <v>52.9247682596782</v>
      </c>
      <c r="Q174" s="3" t="str">
        <f t="shared" si="20"/>
        <v>2025-02</v>
      </c>
    </row>
    <row r="175" customHeight="1" spans="1:17">
      <c r="A175" s="3" t="str">
        <f>Raw_Data!A175</f>
        <v>C0025</v>
      </c>
      <c r="B175" s="4">
        <f>Raw_Data!B175</f>
        <v>45703</v>
      </c>
      <c r="C175" s="3" t="str">
        <f>Raw_Data!C175</f>
        <v>Twitter</v>
      </c>
      <c r="D175" s="3" t="str">
        <f>Raw_Data!D175</f>
        <v>East</v>
      </c>
      <c r="E175" s="5">
        <f>Raw_Data!E175</f>
        <v>3038.65</v>
      </c>
      <c r="F175" s="5">
        <f>Raw_Data!F175</f>
        <v>3174.29</v>
      </c>
      <c r="G175" s="3">
        <f>Raw_Data!G175</f>
        <v>116892</v>
      </c>
      <c r="H175" s="3">
        <f>Raw_Data!H175</f>
        <v>1613</v>
      </c>
      <c r="I175" s="3">
        <f>Raw_Data!I175</f>
        <v>73</v>
      </c>
      <c r="J175" s="5">
        <f>Raw_Data!J175</f>
        <v>3008.02</v>
      </c>
      <c r="K175" s="6">
        <f t="shared" si="14"/>
        <v>0.0137990623823701</v>
      </c>
      <c r="L175" s="5">
        <f t="shared" si="15"/>
        <v>1.96794172349659</v>
      </c>
      <c r="M175" s="5">
        <f t="shared" si="16"/>
        <v>43.4834246575342</v>
      </c>
      <c r="N175" s="7">
        <f t="shared" si="17"/>
        <v>0.947619782691563</v>
      </c>
      <c r="O175" s="5">
        <f t="shared" si="18"/>
        <v>-166.27</v>
      </c>
      <c r="P175" s="8">
        <f t="shared" si="19"/>
        <v>-5.52755633273715</v>
      </c>
      <c r="Q175" s="3" t="str">
        <f t="shared" si="20"/>
        <v>2025-02</v>
      </c>
    </row>
    <row r="176" customHeight="1" spans="1:17">
      <c r="A176" s="3" t="str">
        <f>Raw_Data!A176</f>
        <v>C0191</v>
      </c>
      <c r="B176" s="4">
        <f>Raw_Data!B176</f>
        <v>45703</v>
      </c>
      <c r="C176" s="3" t="str">
        <f>Raw_Data!C176</f>
        <v>LinkedIn</v>
      </c>
      <c r="D176" s="3" t="str">
        <f>Raw_Data!D176</f>
        <v>East</v>
      </c>
      <c r="E176" s="5">
        <f>Raw_Data!E176</f>
        <v>6597.93</v>
      </c>
      <c r="F176" s="5">
        <f>Raw_Data!F176</f>
        <v>6829.49</v>
      </c>
      <c r="G176" s="3">
        <f>Raw_Data!G176</f>
        <v>112474</v>
      </c>
      <c r="H176" s="3">
        <f>Raw_Data!H176</f>
        <v>3364</v>
      </c>
      <c r="I176" s="3">
        <f>Raw_Data!I176</f>
        <v>62</v>
      </c>
      <c r="J176" s="5">
        <f>Raw_Data!J176</f>
        <v>1977.57</v>
      </c>
      <c r="K176" s="6">
        <f t="shared" si="14"/>
        <v>0.0299091345555417</v>
      </c>
      <c r="L176" s="5">
        <f t="shared" si="15"/>
        <v>2.0301694411415</v>
      </c>
      <c r="M176" s="5">
        <f t="shared" si="16"/>
        <v>110.153064516129</v>
      </c>
      <c r="N176" s="7">
        <f t="shared" si="17"/>
        <v>0.289563349532688</v>
      </c>
      <c r="O176" s="5">
        <f t="shared" si="18"/>
        <v>-4851.92</v>
      </c>
      <c r="P176" s="8">
        <f t="shared" si="19"/>
        <v>-245.347573031549</v>
      </c>
      <c r="Q176" s="3" t="str">
        <f t="shared" si="20"/>
        <v>2025-02</v>
      </c>
    </row>
    <row r="177" customHeight="1" spans="1:17">
      <c r="A177" s="3" t="str">
        <f>Raw_Data!A177</f>
        <v>C0228</v>
      </c>
      <c r="B177" s="4">
        <f>Raw_Data!B177</f>
        <v>45703</v>
      </c>
      <c r="C177" s="3" t="str">
        <f>Raw_Data!C177</f>
        <v>LinkedIn</v>
      </c>
      <c r="D177" s="3" t="str">
        <f>Raw_Data!D177</f>
        <v>East</v>
      </c>
      <c r="E177" s="5">
        <f>Raw_Data!E177</f>
        <v>4805.32</v>
      </c>
      <c r="F177" s="5">
        <f>Raw_Data!F177</f>
        <v>4090.61</v>
      </c>
      <c r="G177" s="3">
        <f>Raw_Data!G177</f>
        <v>85109</v>
      </c>
      <c r="H177" s="3">
        <f>Raw_Data!H177</f>
        <v>1336</v>
      </c>
      <c r="I177" s="3">
        <f>Raw_Data!I177</f>
        <v>153</v>
      </c>
      <c r="J177" s="5">
        <f>Raw_Data!J177</f>
        <v>6129.07</v>
      </c>
      <c r="K177" s="6">
        <f t="shared" si="14"/>
        <v>0.015697517301343</v>
      </c>
      <c r="L177" s="5">
        <f t="shared" si="15"/>
        <v>3.06183383233533</v>
      </c>
      <c r="M177" s="5">
        <f t="shared" si="16"/>
        <v>26.7360130718954</v>
      </c>
      <c r="N177" s="7">
        <f t="shared" si="17"/>
        <v>1.4983266554377</v>
      </c>
      <c r="O177" s="5">
        <f t="shared" si="18"/>
        <v>2038.46</v>
      </c>
      <c r="P177" s="8">
        <f t="shared" si="19"/>
        <v>33.2588794058479</v>
      </c>
      <c r="Q177" s="3" t="str">
        <f t="shared" si="20"/>
        <v>2025-02</v>
      </c>
    </row>
    <row r="178" customHeight="1" spans="1:17">
      <c r="A178" s="3" t="str">
        <f>Raw_Data!A178</f>
        <v>C0057</v>
      </c>
      <c r="B178" s="4">
        <f>Raw_Data!B178</f>
        <v>45704</v>
      </c>
      <c r="C178" s="3" t="str">
        <f>Raw_Data!C178</f>
        <v>Facebook</v>
      </c>
      <c r="D178" s="3" t="str">
        <f>Raw_Data!D178</f>
        <v>North</v>
      </c>
      <c r="E178" s="5">
        <f>Raw_Data!E178</f>
        <v>3285.43</v>
      </c>
      <c r="F178" s="5">
        <f>Raw_Data!F178</f>
        <v>3210.75</v>
      </c>
      <c r="G178" s="3">
        <f>Raw_Data!G178</f>
        <v>155333</v>
      </c>
      <c r="H178" s="3">
        <f>Raw_Data!H178</f>
        <v>2501</v>
      </c>
      <c r="I178" s="3">
        <f>Raw_Data!I178</f>
        <v>402</v>
      </c>
      <c r="J178" s="5">
        <f>Raw_Data!J178</f>
        <v>16211.43</v>
      </c>
      <c r="K178" s="6">
        <f t="shared" si="14"/>
        <v>0.0161008929203711</v>
      </c>
      <c r="L178" s="5">
        <f t="shared" si="15"/>
        <v>1.28378648540584</v>
      </c>
      <c r="M178" s="5">
        <f t="shared" si="16"/>
        <v>7.98694029850746</v>
      </c>
      <c r="N178" s="7">
        <f t="shared" si="17"/>
        <v>5.04911002102313</v>
      </c>
      <c r="O178" s="5">
        <f t="shared" si="18"/>
        <v>13000.68</v>
      </c>
      <c r="P178" s="8">
        <f t="shared" si="19"/>
        <v>80.1945294153569</v>
      </c>
      <c r="Q178" s="3" t="str">
        <f t="shared" si="20"/>
        <v>2025-02</v>
      </c>
    </row>
    <row r="179" customHeight="1" spans="1:17">
      <c r="A179" s="3" t="str">
        <f>Raw_Data!A179</f>
        <v>C0402</v>
      </c>
      <c r="B179" s="4">
        <f>Raw_Data!B179</f>
        <v>45705</v>
      </c>
      <c r="C179" s="3" t="str">
        <f>Raw_Data!C179</f>
        <v>LinkedIn</v>
      </c>
      <c r="D179" s="3" t="str">
        <f>Raw_Data!D179</f>
        <v>East</v>
      </c>
      <c r="E179" s="5">
        <f>Raw_Data!E179</f>
        <v>5265.27</v>
      </c>
      <c r="F179" s="5">
        <f>Raw_Data!F179</f>
        <v>4984.07</v>
      </c>
      <c r="G179" s="3">
        <f>Raw_Data!G179</f>
        <v>50640</v>
      </c>
      <c r="H179" s="3">
        <f>Raw_Data!H179</f>
        <v>1609</v>
      </c>
      <c r="I179" s="3">
        <f>Raw_Data!I179</f>
        <v>321</v>
      </c>
      <c r="J179" s="5">
        <f>Raw_Data!J179</f>
        <v>13839.02</v>
      </c>
      <c r="K179" s="6">
        <f t="shared" si="14"/>
        <v>0.0317733017377567</v>
      </c>
      <c r="L179" s="5">
        <f t="shared" si="15"/>
        <v>3.09761963952766</v>
      </c>
      <c r="M179" s="5">
        <f t="shared" si="16"/>
        <v>15.5266978193146</v>
      </c>
      <c r="N179" s="7">
        <f t="shared" si="17"/>
        <v>2.77665040820053</v>
      </c>
      <c r="O179" s="5">
        <f t="shared" si="18"/>
        <v>8854.95</v>
      </c>
      <c r="P179" s="8">
        <f t="shared" si="19"/>
        <v>63.9853833580702</v>
      </c>
      <c r="Q179" s="3" t="str">
        <f t="shared" si="20"/>
        <v>2025-02</v>
      </c>
    </row>
    <row r="180" customHeight="1" spans="1:17">
      <c r="A180" s="3" t="str">
        <f>Raw_Data!A180</f>
        <v>C0280</v>
      </c>
      <c r="B180" s="4">
        <f>Raw_Data!B180</f>
        <v>45706</v>
      </c>
      <c r="C180" s="3" t="str">
        <f>Raw_Data!C180</f>
        <v>Google Ads</v>
      </c>
      <c r="D180" s="3" t="str">
        <f>Raw_Data!D180</f>
        <v>South</v>
      </c>
      <c r="E180" s="5">
        <f>Raw_Data!E180</f>
        <v>5536.76</v>
      </c>
      <c r="F180" s="5">
        <f>Raw_Data!F180</f>
        <v>5393.78</v>
      </c>
      <c r="G180" s="3">
        <f>Raw_Data!G180</f>
        <v>99708</v>
      </c>
      <c r="H180" s="3">
        <f>Raw_Data!H180</f>
        <v>4677</v>
      </c>
      <c r="I180" s="3">
        <f>Raw_Data!I180</f>
        <v>700</v>
      </c>
      <c r="J180" s="5">
        <f>Raw_Data!J180</f>
        <v>27277.55</v>
      </c>
      <c r="K180" s="6">
        <f t="shared" si="14"/>
        <v>0.0469069683475749</v>
      </c>
      <c r="L180" s="5">
        <f t="shared" si="15"/>
        <v>1.15325636091512</v>
      </c>
      <c r="M180" s="5">
        <f t="shared" si="16"/>
        <v>7.7054</v>
      </c>
      <c r="N180" s="7">
        <f t="shared" si="17"/>
        <v>5.05722332019474</v>
      </c>
      <c r="O180" s="5">
        <f t="shared" si="18"/>
        <v>21883.77</v>
      </c>
      <c r="P180" s="8">
        <f t="shared" si="19"/>
        <v>80.2263033153637</v>
      </c>
      <c r="Q180" s="3" t="str">
        <f t="shared" si="20"/>
        <v>2025-02</v>
      </c>
    </row>
    <row r="181" customHeight="1" spans="1:17">
      <c r="A181" s="3" t="str">
        <f>Raw_Data!A181</f>
        <v>C0082</v>
      </c>
      <c r="B181" s="4">
        <f>Raw_Data!B181</f>
        <v>45706</v>
      </c>
      <c r="C181" s="3" t="str">
        <f>Raw_Data!C181</f>
        <v>Google Ads</v>
      </c>
      <c r="D181" s="3" t="str">
        <f>Raw_Data!D181</f>
        <v>West</v>
      </c>
      <c r="E181" s="5">
        <f>Raw_Data!E181</f>
        <v>5591.11</v>
      </c>
      <c r="F181" s="5">
        <f>Raw_Data!F181</f>
        <v>4498.81</v>
      </c>
      <c r="G181" s="3">
        <f>Raw_Data!G181</f>
        <v>139883</v>
      </c>
      <c r="H181" s="3">
        <f>Raw_Data!H181</f>
        <v>4226</v>
      </c>
      <c r="I181" s="3">
        <f>Raw_Data!I181</f>
        <v>835</v>
      </c>
      <c r="J181" s="5">
        <f>Raw_Data!J181</f>
        <v>39954.38</v>
      </c>
      <c r="K181" s="6">
        <f t="shared" si="14"/>
        <v>0.0302109620182581</v>
      </c>
      <c r="L181" s="5">
        <f t="shared" si="15"/>
        <v>1.06455513487932</v>
      </c>
      <c r="M181" s="5">
        <f t="shared" si="16"/>
        <v>5.38779640718563</v>
      </c>
      <c r="N181" s="7">
        <f t="shared" si="17"/>
        <v>8.88109966857902</v>
      </c>
      <c r="O181" s="5">
        <f t="shared" si="18"/>
        <v>35455.57</v>
      </c>
      <c r="P181" s="8">
        <f t="shared" si="19"/>
        <v>88.7401331218255</v>
      </c>
      <c r="Q181" s="3" t="str">
        <f t="shared" si="20"/>
        <v>2025-02</v>
      </c>
    </row>
    <row r="182" customHeight="1" spans="1:17">
      <c r="A182" s="3" t="str">
        <f>Raw_Data!A182</f>
        <v>C0220</v>
      </c>
      <c r="B182" s="4">
        <f>Raw_Data!B182</f>
        <v>45707</v>
      </c>
      <c r="C182" s="3" t="str">
        <f>Raw_Data!C182</f>
        <v>Instagram</v>
      </c>
      <c r="D182" s="3" t="str">
        <f>Raw_Data!D182</f>
        <v>East</v>
      </c>
      <c r="E182" s="5">
        <f>Raw_Data!E182</f>
        <v>5541.58</v>
      </c>
      <c r="F182" s="5">
        <f>Raw_Data!F182</f>
        <v>5507.08</v>
      </c>
      <c r="G182" s="3">
        <f>Raw_Data!G182</f>
        <v>113210</v>
      </c>
      <c r="H182" s="3">
        <f>Raw_Data!H182</f>
        <v>1277</v>
      </c>
      <c r="I182" s="3">
        <f>Raw_Data!I182</f>
        <v>208</v>
      </c>
      <c r="J182" s="5">
        <f>Raw_Data!J182</f>
        <v>7721.66</v>
      </c>
      <c r="K182" s="6">
        <f t="shared" si="14"/>
        <v>0.0112799222683509</v>
      </c>
      <c r="L182" s="5">
        <f t="shared" si="15"/>
        <v>4.31251370399374</v>
      </c>
      <c r="M182" s="5">
        <f t="shared" si="16"/>
        <v>26.4763461538462</v>
      </c>
      <c r="N182" s="7">
        <f t="shared" si="17"/>
        <v>1.40213325392041</v>
      </c>
      <c r="O182" s="5">
        <f t="shared" si="18"/>
        <v>2214.58</v>
      </c>
      <c r="P182" s="8">
        <f t="shared" si="19"/>
        <v>28.680102465014</v>
      </c>
      <c r="Q182" s="3" t="str">
        <f t="shared" si="20"/>
        <v>2025-02</v>
      </c>
    </row>
    <row r="183" customHeight="1" spans="1:17">
      <c r="A183" s="3" t="str">
        <f>Raw_Data!A183</f>
        <v>C0440</v>
      </c>
      <c r="B183" s="4">
        <f>Raw_Data!B183</f>
        <v>45707</v>
      </c>
      <c r="C183" s="3" t="str">
        <f>Raw_Data!C183</f>
        <v>Instagram</v>
      </c>
      <c r="D183" s="3" t="str">
        <f>Raw_Data!D183</f>
        <v>North</v>
      </c>
      <c r="E183" s="5">
        <f>Raw_Data!E183</f>
        <v>8121.13</v>
      </c>
      <c r="F183" s="5">
        <f>Raw_Data!F183</f>
        <v>6695.78</v>
      </c>
      <c r="G183" s="3">
        <f>Raw_Data!G183</f>
        <v>190122</v>
      </c>
      <c r="H183" s="3">
        <f>Raw_Data!H183</f>
        <v>2084</v>
      </c>
      <c r="I183" s="3">
        <f>Raw_Data!I183</f>
        <v>362</v>
      </c>
      <c r="J183" s="5">
        <f>Raw_Data!J183</f>
        <v>7895.42</v>
      </c>
      <c r="K183" s="6">
        <f t="shared" si="14"/>
        <v>0.0109613826911141</v>
      </c>
      <c r="L183" s="5">
        <f t="shared" si="15"/>
        <v>3.2129462571977</v>
      </c>
      <c r="M183" s="5">
        <f t="shared" si="16"/>
        <v>18.4966298342541</v>
      </c>
      <c r="N183" s="7">
        <f t="shared" si="17"/>
        <v>1.17916359259115</v>
      </c>
      <c r="O183" s="5">
        <f t="shared" si="18"/>
        <v>1199.64</v>
      </c>
      <c r="P183" s="8">
        <f t="shared" si="19"/>
        <v>15.1941252016992</v>
      </c>
      <c r="Q183" s="3" t="str">
        <f t="shared" si="20"/>
        <v>2025-02</v>
      </c>
    </row>
    <row r="184" customHeight="1" spans="1:17">
      <c r="A184" s="3" t="str">
        <f>Raw_Data!A184</f>
        <v>C0346</v>
      </c>
      <c r="B184" s="4">
        <f>Raw_Data!B184</f>
        <v>45707</v>
      </c>
      <c r="C184" s="3" t="str">
        <f>Raw_Data!C184</f>
        <v>Twitter</v>
      </c>
      <c r="D184" s="3" t="str">
        <f>Raw_Data!D184</f>
        <v>West</v>
      </c>
      <c r="E184" s="5">
        <f>Raw_Data!E184</f>
        <v>7874.02</v>
      </c>
      <c r="F184" s="5">
        <f>Raw_Data!F184</f>
        <v>7102.07</v>
      </c>
      <c r="G184" s="3">
        <f>Raw_Data!G184</f>
        <v>194871</v>
      </c>
      <c r="H184" s="3">
        <f>Raw_Data!H184</f>
        <v>7907</v>
      </c>
      <c r="I184" s="3">
        <f>Raw_Data!I184</f>
        <v>784</v>
      </c>
      <c r="J184" s="5">
        <f>Raw_Data!J184</f>
        <v>32726.51</v>
      </c>
      <c r="K184" s="6">
        <f t="shared" si="14"/>
        <v>0.0405755602424168</v>
      </c>
      <c r="L184" s="5">
        <f t="shared" si="15"/>
        <v>0.898200328822562</v>
      </c>
      <c r="M184" s="5">
        <f t="shared" si="16"/>
        <v>9.05876275510204</v>
      </c>
      <c r="N184" s="7">
        <f t="shared" si="17"/>
        <v>4.60802413944104</v>
      </c>
      <c r="O184" s="5">
        <f t="shared" si="18"/>
        <v>25624.44</v>
      </c>
      <c r="P184" s="8">
        <f t="shared" si="19"/>
        <v>78.2987247952806</v>
      </c>
      <c r="Q184" s="3" t="str">
        <f t="shared" si="20"/>
        <v>2025-02</v>
      </c>
    </row>
    <row r="185" customHeight="1" spans="1:17">
      <c r="A185" s="3" t="str">
        <f>Raw_Data!A185</f>
        <v>C0174</v>
      </c>
      <c r="B185" s="4">
        <f>Raw_Data!B185</f>
        <v>45708</v>
      </c>
      <c r="C185" s="3" t="str">
        <f>Raw_Data!C185</f>
        <v>Facebook</v>
      </c>
      <c r="D185" s="3" t="str">
        <f>Raw_Data!D185</f>
        <v>West</v>
      </c>
      <c r="E185" s="5">
        <f>Raw_Data!E185</f>
        <v>4052.92</v>
      </c>
      <c r="F185" s="5">
        <f>Raw_Data!F185</f>
        <v>3964.73</v>
      </c>
      <c r="G185" s="3">
        <f>Raw_Data!G185</f>
        <v>191309</v>
      </c>
      <c r="H185" s="3">
        <f>Raw_Data!H185</f>
        <v>5182</v>
      </c>
      <c r="I185" s="3">
        <f>Raw_Data!I185</f>
        <v>356</v>
      </c>
      <c r="J185" s="5">
        <f>Raw_Data!J185</f>
        <v>11187.91</v>
      </c>
      <c r="K185" s="6">
        <f t="shared" si="14"/>
        <v>0.027087068564469</v>
      </c>
      <c r="L185" s="5">
        <f t="shared" si="15"/>
        <v>0.765096487842532</v>
      </c>
      <c r="M185" s="5">
        <f t="shared" si="16"/>
        <v>11.1368820224719</v>
      </c>
      <c r="N185" s="7">
        <f t="shared" si="17"/>
        <v>2.82185924388294</v>
      </c>
      <c r="O185" s="5">
        <f t="shared" si="18"/>
        <v>7223.18</v>
      </c>
      <c r="P185" s="8">
        <f t="shared" si="19"/>
        <v>64.5623713454971</v>
      </c>
      <c r="Q185" s="3" t="str">
        <f t="shared" si="20"/>
        <v>2025-02</v>
      </c>
    </row>
    <row r="186" customHeight="1" spans="1:17">
      <c r="A186" s="3" t="str">
        <f>Raw_Data!A186</f>
        <v>C0488</v>
      </c>
      <c r="B186" s="4">
        <f>Raw_Data!B186</f>
        <v>45708</v>
      </c>
      <c r="C186" s="3" t="str">
        <f>Raw_Data!C186</f>
        <v>Google Ads</v>
      </c>
      <c r="D186" s="3" t="str">
        <f>Raw_Data!D186</f>
        <v>West</v>
      </c>
      <c r="E186" s="5">
        <f>Raw_Data!E186</f>
        <v>7558.63</v>
      </c>
      <c r="F186" s="5">
        <f>Raw_Data!F186</f>
        <v>6288.61</v>
      </c>
      <c r="G186" s="3">
        <f>Raw_Data!G186</f>
        <v>112643</v>
      </c>
      <c r="H186" s="3">
        <f>Raw_Data!H186</f>
        <v>4673</v>
      </c>
      <c r="I186" s="3">
        <f>Raw_Data!I186</f>
        <v>506</v>
      </c>
      <c r="J186" s="5">
        <f>Raw_Data!J186</f>
        <v>20106.09</v>
      </c>
      <c r="K186" s="6">
        <f t="shared" si="14"/>
        <v>0.041485045675275</v>
      </c>
      <c r="L186" s="5">
        <f t="shared" si="15"/>
        <v>1.34573293387545</v>
      </c>
      <c r="M186" s="5">
        <f t="shared" si="16"/>
        <v>12.4280830039526</v>
      </c>
      <c r="N186" s="7">
        <f t="shared" si="17"/>
        <v>3.19722323375118</v>
      </c>
      <c r="O186" s="5">
        <f t="shared" si="18"/>
        <v>13817.48</v>
      </c>
      <c r="P186" s="8">
        <f t="shared" si="19"/>
        <v>68.722859591298</v>
      </c>
      <c r="Q186" s="3" t="str">
        <f t="shared" si="20"/>
        <v>2025-02</v>
      </c>
    </row>
    <row r="187" customHeight="1" spans="1:17">
      <c r="A187" s="3" t="str">
        <f>Raw_Data!A187</f>
        <v>C0180</v>
      </c>
      <c r="B187" s="4">
        <f>Raw_Data!B187</f>
        <v>45708</v>
      </c>
      <c r="C187" s="3" t="str">
        <f>Raw_Data!C187</f>
        <v>Facebook</v>
      </c>
      <c r="D187" s="3" t="str">
        <f>Raw_Data!D187</f>
        <v>East</v>
      </c>
      <c r="E187" s="5">
        <f>Raw_Data!E187</f>
        <v>4731.44</v>
      </c>
      <c r="F187" s="5">
        <f>Raw_Data!F187</f>
        <v>4424.67</v>
      </c>
      <c r="G187" s="3">
        <f>Raw_Data!G187</f>
        <v>113689</v>
      </c>
      <c r="H187" s="3">
        <f>Raw_Data!H187</f>
        <v>4258</v>
      </c>
      <c r="I187" s="3">
        <f>Raw_Data!I187</f>
        <v>100</v>
      </c>
      <c r="J187" s="5">
        <f>Raw_Data!J187</f>
        <v>2387.48</v>
      </c>
      <c r="K187" s="6">
        <f t="shared" si="14"/>
        <v>0.0374530517464311</v>
      </c>
      <c r="L187" s="5">
        <f t="shared" si="15"/>
        <v>1.03914279004227</v>
      </c>
      <c r="M187" s="5">
        <f t="shared" si="16"/>
        <v>44.2467</v>
      </c>
      <c r="N187" s="7">
        <f t="shared" si="17"/>
        <v>0.539583742968402</v>
      </c>
      <c r="O187" s="5">
        <f t="shared" si="18"/>
        <v>-2037.19</v>
      </c>
      <c r="P187" s="8">
        <f t="shared" si="19"/>
        <v>-85.3280446328346</v>
      </c>
      <c r="Q187" s="3" t="str">
        <f t="shared" si="20"/>
        <v>2025-02</v>
      </c>
    </row>
    <row r="188" customHeight="1" spans="1:17">
      <c r="A188" s="3" t="str">
        <f>Raw_Data!A188</f>
        <v>C0414</v>
      </c>
      <c r="B188" s="4">
        <f>Raw_Data!B188</f>
        <v>45709</v>
      </c>
      <c r="C188" s="3" t="str">
        <f>Raw_Data!C188</f>
        <v>LinkedIn</v>
      </c>
      <c r="D188" s="3" t="str">
        <f>Raw_Data!D188</f>
        <v>East</v>
      </c>
      <c r="E188" s="5">
        <f>Raw_Data!E188</f>
        <v>4298.68</v>
      </c>
      <c r="F188" s="5">
        <f>Raw_Data!F188</f>
        <v>4559.12</v>
      </c>
      <c r="G188" s="3">
        <f>Raw_Data!G188</f>
        <v>160215</v>
      </c>
      <c r="H188" s="3">
        <f>Raw_Data!H188</f>
        <v>4360</v>
      </c>
      <c r="I188" s="3">
        <f>Raw_Data!I188</f>
        <v>734</v>
      </c>
      <c r="J188" s="5">
        <f>Raw_Data!J188</f>
        <v>31780.66</v>
      </c>
      <c r="K188" s="6">
        <f t="shared" si="14"/>
        <v>0.0272134319508161</v>
      </c>
      <c r="L188" s="5">
        <f t="shared" si="15"/>
        <v>1.04566972477064</v>
      </c>
      <c r="M188" s="5">
        <f t="shared" si="16"/>
        <v>6.21133514986376</v>
      </c>
      <c r="N188" s="7">
        <f t="shared" si="17"/>
        <v>6.97078822228851</v>
      </c>
      <c r="O188" s="5">
        <f t="shared" si="18"/>
        <v>27221.54</v>
      </c>
      <c r="P188" s="8">
        <f t="shared" si="19"/>
        <v>85.6544200151916</v>
      </c>
      <c r="Q188" s="3" t="str">
        <f t="shared" si="20"/>
        <v>2025-02</v>
      </c>
    </row>
    <row r="189" customHeight="1" spans="1:17">
      <c r="A189" s="3" t="str">
        <f>Raw_Data!A189</f>
        <v>C0227</v>
      </c>
      <c r="B189" s="4">
        <f>Raw_Data!B189</f>
        <v>45709</v>
      </c>
      <c r="C189" s="3" t="str">
        <f>Raw_Data!C189</f>
        <v>LinkedIn</v>
      </c>
      <c r="D189" s="3" t="str">
        <f>Raw_Data!D189</f>
        <v>North</v>
      </c>
      <c r="E189" s="5">
        <f>Raw_Data!E189</f>
        <v>9786.29</v>
      </c>
      <c r="F189" s="5">
        <f>Raw_Data!F189</f>
        <v>10370.06</v>
      </c>
      <c r="G189" s="3">
        <f>Raw_Data!G189</f>
        <v>111502</v>
      </c>
      <c r="H189" s="3">
        <f>Raw_Data!H189</f>
        <v>5082</v>
      </c>
      <c r="I189" s="3">
        <f>Raw_Data!I189</f>
        <v>149</v>
      </c>
      <c r="J189" s="5">
        <f>Raw_Data!J189</f>
        <v>6632.31</v>
      </c>
      <c r="K189" s="6">
        <f t="shared" si="14"/>
        <v>0.0455776577998601</v>
      </c>
      <c r="L189" s="5">
        <f t="shared" si="15"/>
        <v>2.04054702872885</v>
      </c>
      <c r="M189" s="5">
        <f t="shared" si="16"/>
        <v>69.5977181208054</v>
      </c>
      <c r="N189" s="7">
        <f t="shared" si="17"/>
        <v>0.639563319787928</v>
      </c>
      <c r="O189" s="5">
        <f t="shared" si="18"/>
        <v>-3737.75</v>
      </c>
      <c r="P189" s="8">
        <f t="shared" si="19"/>
        <v>-56.3566841718798</v>
      </c>
      <c r="Q189" s="3" t="str">
        <f t="shared" si="20"/>
        <v>2025-02</v>
      </c>
    </row>
    <row r="190" customHeight="1" spans="1:17">
      <c r="A190" s="3" t="str">
        <f>Raw_Data!A190</f>
        <v>C0103</v>
      </c>
      <c r="B190" s="4">
        <f>Raw_Data!B190</f>
        <v>45709</v>
      </c>
      <c r="C190" s="3" t="str">
        <f>Raw_Data!C190</f>
        <v>Instagram</v>
      </c>
      <c r="D190" s="3" t="str">
        <f>Raw_Data!D190</f>
        <v>East</v>
      </c>
      <c r="E190" s="5">
        <f>Raw_Data!E190</f>
        <v>6614.1</v>
      </c>
      <c r="F190" s="5">
        <f>Raw_Data!F190</f>
        <v>5932.1</v>
      </c>
      <c r="G190" s="3">
        <f>Raw_Data!G190</f>
        <v>175761</v>
      </c>
      <c r="H190" s="3">
        <f>Raw_Data!H190</f>
        <v>4515</v>
      </c>
      <c r="I190" s="3">
        <f>Raw_Data!I190</f>
        <v>649</v>
      </c>
      <c r="J190" s="5">
        <f>Raw_Data!J190</f>
        <v>28462.28</v>
      </c>
      <c r="K190" s="6">
        <f t="shared" si="14"/>
        <v>0.0256882926246437</v>
      </c>
      <c r="L190" s="5">
        <f t="shared" si="15"/>
        <v>1.31386489479513</v>
      </c>
      <c r="M190" s="5">
        <f t="shared" si="16"/>
        <v>9.14036979969183</v>
      </c>
      <c r="N190" s="7">
        <f t="shared" si="17"/>
        <v>4.79801082247433</v>
      </c>
      <c r="O190" s="5">
        <f t="shared" si="18"/>
        <v>22530.18</v>
      </c>
      <c r="P190" s="8">
        <f t="shared" si="19"/>
        <v>79.1580295043124</v>
      </c>
      <c r="Q190" s="3" t="str">
        <f t="shared" si="20"/>
        <v>2025-02</v>
      </c>
    </row>
    <row r="191" customHeight="1" spans="1:17">
      <c r="A191" s="3" t="str">
        <f>Raw_Data!A191</f>
        <v>C0481</v>
      </c>
      <c r="B191" s="4">
        <f>Raw_Data!B191</f>
        <v>45710</v>
      </c>
      <c r="C191" s="3" t="str">
        <f>Raw_Data!C191</f>
        <v>Facebook</v>
      </c>
      <c r="D191" s="3" t="str">
        <f>Raw_Data!D191</f>
        <v>West</v>
      </c>
      <c r="E191" s="5">
        <f>Raw_Data!E191</f>
        <v>9789.38</v>
      </c>
      <c r="F191" s="5">
        <f>Raw_Data!F191</f>
        <v>8107.27</v>
      </c>
      <c r="G191" s="3">
        <f>Raw_Data!G191</f>
        <v>118097</v>
      </c>
      <c r="H191" s="3">
        <f>Raw_Data!H191</f>
        <v>1117</v>
      </c>
      <c r="I191" s="3">
        <f>Raw_Data!I191</f>
        <v>118</v>
      </c>
      <c r="J191" s="5">
        <f>Raw_Data!J191</f>
        <v>4741.01</v>
      </c>
      <c r="K191" s="6">
        <f t="shared" si="14"/>
        <v>0.00945832662980431</v>
      </c>
      <c r="L191" s="5">
        <f t="shared" si="15"/>
        <v>7.25807520143241</v>
      </c>
      <c r="M191" s="5">
        <f t="shared" si="16"/>
        <v>68.7056779661017</v>
      </c>
      <c r="N191" s="7">
        <f t="shared" si="17"/>
        <v>0.584785013944275</v>
      </c>
      <c r="O191" s="5">
        <f t="shared" si="18"/>
        <v>-3366.26</v>
      </c>
      <c r="P191" s="8">
        <f t="shared" si="19"/>
        <v>-71.0030141256821</v>
      </c>
      <c r="Q191" s="3" t="str">
        <f t="shared" si="20"/>
        <v>2025-02</v>
      </c>
    </row>
    <row r="192" customHeight="1" spans="1:17">
      <c r="A192" s="3" t="str">
        <f>Raw_Data!A192</f>
        <v>C0483</v>
      </c>
      <c r="B192" s="4">
        <f>Raw_Data!B192</f>
        <v>45710</v>
      </c>
      <c r="C192" s="3" t="str">
        <f>Raw_Data!C192</f>
        <v>Twitter</v>
      </c>
      <c r="D192" s="3" t="str">
        <f>Raw_Data!D192</f>
        <v>North</v>
      </c>
      <c r="E192" s="5">
        <f>Raw_Data!E192</f>
        <v>7848.38</v>
      </c>
      <c r="F192" s="5">
        <f>Raw_Data!F192</f>
        <v>8252.06</v>
      </c>
      <c r="G192" s="3">
        <f>Raw_Data!G192</f>
        <v>55522</v>
      </c>
      <c r="H192" s="3">
        <f>Raw_Data!H192</f>
        <v>2245</v>
      </c>
      <c r="I192" s="3">
        <f>Raw_Data!I192</f>
        <v>185</v>
      </c>
      <c r="J192" s="5">
        <f>Raw_Data!J192</f>
        <v>8942.61</v>
      </c>
      <c r="K192" s="6">
        <f t="shared" si="14"/>
        <v>0.0404344223911242</v>
      </c>
      <c r="L192" s="5">
        <f t="shared" si="15"/>
        <v>3.67575055679287</v>
      </c>
      <c r="M192" s="5">
        <f t="shared" si="16"/>
        <v>44.6057297297297</v>
      </c>
      <c r="N192" s="7">
        <f t="shared" si="17"/>
        <v>1.08368213512747</v>
      </c>
      <c r="O192" s="5">
        <f t="shared" si="18"/>
        <v>690.550000000001</v>
      </c>
      <c r="P192" s="8">
        <f t="shared" si="19"/>
        <v>7.72201851584718</v>
      </c>
      <c r="Q192" s="3" t="str">
        <f t="shared" si="20"/>
        <v>2025-02</v>
      </c>
    </row>
    <row r="193" customHeight="1" spans="1:17">
      <c r="A193" s="3" t="str">
        <f>Raw_Data!A193</f>
        <v>C0254</v>
      </c>
      <c r="B193" s="4">
        <f>Raw_Data!B193</f>
        <v>45710</v>
      </c>
      <c r="C193" s="3" t="str">
        <f>Raw_Data!C193</f>
        <v>Twitter</v>
      </c>
      <c r="D193" s="3" t="str">
        <f>Raw_Data!D193</f>
        <v>North</v>
      </c>
      <c r="E193" s="5">
        <f>Raw_Data!E193</f>
        <v>8520.18</v>
      </c>
      <c r="F193" s="5">
        <f>Raw_Data!F193</f>
        <v>7203.83</v>
      </c>
      <c r="G193" s="3">
        <f>Raw_Data!G193</f>
        <v>71137</v>
      </c>
      <c r="H193" s="3">
        <f>Raw_Data!H193</f>
        <v>2638</v>
      </c>
      <c r="I193" s="3">
        <f>Raw_Data!I193</f>
        <v>60</v>
      </c>
      <c r="J193" s="5">
        <f>Raw_Data!J193</f>
        <v>1761.1</v>
      </c>
      <c r="K193" s="6">
        <f t="shared" si="14"/>
        <v>0.0370833743340315</v>
      </c>
      <c r="L193" s="5">
        <f t="shared" si="15"/>
        <v>2.73079226686884</v>
      </c>
      <c r="M193" s="5">
        <f t="shared" si="16"/>
        <v>120.063833333333</v>
      </c>
      <c r="N193" s="7">
        <f t="shared" si="17"/>
        <v>0.244467179264364</v>
      </c>
      <c r="O193" s="5">
        <f t="shared" si="18"/>
        <v>-5442.73</v>
      </c>
      <c r="P193" s="8">
        <f t="shared" si="19"/>
        <v>-309.052864686843</v>
      </c>
      <c r="Q193" s="3" t="str">
        <f t="shared" si="20"/>
        <v>2025-02</v>
      </c>
    </row>
    <row r="194" customHeight="1" spans="1:17">
      <c r="A194" s="3" t="str">
        <f>Raw_Data!A194</f>
        <v>C0158</v>
      </c>
      <c r="B194" s="4">
        <f>Raw_Data!B194</f>
        <v>45710</v>
      </c>
      <c r="C194" s="3" t="str">
        <f>Raw_Data!C194</f>
        <v>Twitter</v>
      </c>
      <c r="D194" s="3" t="str">
        <f>Raw_Data!D194</f>
        <v>South</v>
      </c>
      <c r="E194" s="5">
        <f>Raw_Data!E194</f>
        <v>9789.15</v>
      </c>
      <c r="F194" s="5">
        <f>Raw_Data!F194</f>
        <v>7958.07</v>
      </c>
      <c r="G194" s="3">
        <f>Raw_Data!G194</f>
        <v>115218</v>
      </c>
      <c r="H194" s="3">
        <f>Raw_Data!H194</f>
        <v>1614</v>
      </c>
      <c r="I194" s="3">
        <f>Raw_Data!I194</f>
        <v>62</v>
      </c>
      <c r="J194" s="5">
        <f>Raw_Data!J194</f>
        <v>2897.53</v>
      </c>
      <c r="K194" s="6">
        <f t="shared" ref="K194:K257" si="21">IFERROR(H194/G194,0)</f>
        <v>0.0140082278810603</v>
      </c>
      <c r="L194" s="5">
        <f t="shared" ref="L194:L257" si="22">IFERROR(F194/H194,0)</f>
        <v>4.93065055762082</v>
      </c>
      <c r="M194" s="5">
        <f t="shared" ref="M194:M257" si="23">IFERROR(F194/I194,0)</f>
        <v>128.355967741935</v>
      </c>
      <c r="N194" s="7">
        <f t="shared" ref="N194:N257" si="24">IFERROR(J194/F194,0)</f>
        <v>0.364099586960155</v>
      </c>
      <c r="O194" s="5">
        <f t="shared" ref="O194:O257" si="25">J194-F194</f>
        <v>-5060.54</v>
      </c>
      <c r="P194" s="8">
        <f t="shared" ref="P194:P257" si="26">IFERROR(O194/J194*100,0)</f>
        <v>-174.650133044352</v>
      </c>
      <c r="Q194" s="3" t="str">
        <f t="shared" ref="Q194:Q257" si="27">TEXT(B194,"YYYY-MM")</f>
        <v>2025-02</v>
      </c>
    </row>
    <row r="195" customHeight="1" spans="1:17">
      <c r="A195" s="3" t="str">
        <f>Raw_Data!A195</f>
        <v>C0062</v>
      </c>
      <c r="B195" s="4">
        <f>Raw_Data!B195</f>
        <v>45710</v>
      </c>
      <c r="C195" s="3" t="str">
        <f>Raw_Data!C195</f>
        <v>Facebook</v>
      </c>
      <c r="D195" s="3" t="str">
        <f>Raw_Data!D195</f>
        <v>South</v>
      </c>
      <c r="E195" s="5">
        <f>Raw_Data!E195</f>
        <v>9141.38</v>
      </c>
      <c r="F195" s="5">
        <f>Raw_Data!F195</f>
        <v>8020.49</v>
      </c>
      <c r="G195" s="3">
        <f>Raw_Data!G195</f>
        <v>80391</v>
      </c>
      <c r="H195" s="3">
        <f>Raw_Data!H195</f>
        <v>1900</v>
      </c>
      <c r="I195" s="3">
        <f>Raw_Data!I195</f>
        <v>189</v>
      </c>
      <c r="J195" s="5">
        <f>Raw_Data!J195</f>
        <v>7522.11</v>
      </c>
      <c r="K195" s="6">
        <f t="shared" si="21"/>
        <v>0.0236344864474879</v>
      </c>
      <c r="L195" s="5">
        <f t="shared" si="22"/>
        <v>4.22131052631579</v>
      </c>
      <c r="M195" s="5">
        <f t="shared" si="23"/>
        <v>42.436455026455</v>
      </c>
      <c r="N195" s="7">
        <f t="shared" si="24"/>
        <v>0.937861651844214</v>
      </c>
      <c r="O195" s="5">
        <f t="shared" si="25"/>
        <v>-498.38</v>
      </c>
      <c r="P195" s="8">
        <f t="shared" si="26"/>
        <v>-6.6255345906933</v>
      </c>
      <c r="Q195" s="3" t="str">
        <f t="shared" si="27"/>
        <v>2025-02</v>
      </c>
    </row>
    <row r="196" customHeight="1" spans="1:17">
      <c r="A196" s="3" t="str">
        <f>Raw_Data!A196</f>
        <v>C0447</v>
      </c>
      <c r="B196" s="4">
        <f>Raw_Data!B196</f>
        <v>45710</v>
      </c>
      <c r="C196" s="3" t="str">
        <f>Raw_Data!C196</f>
        <v>Instagram</v>
      </c>
      <c r="D196" s="3" t="str">
        <f>Raw_Data!D196</f>
        <v>West</v>
      </c>
      <c r="E196" s="5">
        <f>Raw_Data!E196</f>
        <v>3505.39</v>
      </c>
      <c r="F196" s="5">
        <f>Raw_Data!F196</f>
        <v>2836.55</v>
      </c>
      <c r="G196" s="3">
        <f>Raw_Data!G196</f>
        <v>113319</v>
      </c>
      <c r="H196" s="3">
        <f>Raw_Data!H196</f>
        <v>2346</v>
      </c>
      <c r="I196" s="3">
        <f>Raw_Data!I196</f>
        <v>225</v>
      </c>
      <c r="J196" s="5">
        <f>Raw_Data!J196</f>
        <v>6239.36</v>
      </c>
      <c r="K196" s="6">
        <f t="shared" si="21"/>
        <v>0.0207026182723109</v>
      </c>
      <c r="L196" s="5">
        <f t="shared" si="22"/>
        <v>1.20910059676044</v>
      </c>
      <c r="M196" s="5">
        <f t="shared" si="23"/>
        <v>12.6068888888889</v>
      </c>
      <c r="N196" s="7">
        <f t="shared" si="24"/>
        <v>2.19962983201424</v>
      </c>
      <c r="O196" s="5">
        <f t="shared" si="25"/>
        <v>3402.81</v>
      </c>
      <c r="P196" s="8">
        <f t="shared" si="26"/>
        <v>54.5378051595035</v>
      </c>
      <c r="Q196" s="3" t="str">
        <f t="shared" si="27"/>
        <v>2025-02</v>
      </c>
    </row>
    <row r="197" customHeight="1" spans="1:17">
      <c r="A197" s="3" t="str">
        <f>Raw_Data!A197</f>
        <v>C0033</v>
      </c>
      <c r="B197" s="4">
        <f>Raw_Data!B197</f>
        <v>45711</v>
      </c>
      <c r="C197" s="3" t="str">
        <f>Raw_Data!C197</f>
        <v>Instagram</v>
      </c>
      <c r="D197" s="3" t="str">
        <f>Raw_Data!D197</f>
        <v>East</v>
      </c>
      <c r="E197" s="5">
        <f>Raw_Data!E197</f>
        <v>6659.13</v>
      </c>
      <c r="F197" s="5">
        <f>Raw_Data!F197</f>
        <v>6181.42</v>
      </c>
      <c r="G197" s="3">
        <f>Raw_Data!G197</f>
        <v>69731</v>
      </c>
      <c r="H197" s="3">
        <f>Raw_Data!H197</f>
        <v>2872</v>
      </c>
      <c r="I197" s="3">
        <f>Raw_Data!I197</f>
        <v>455</v>
      </c>
      <c r="J197" s="5">
        <f>Raw_Data!J197</f>
        <v>9446.97</v>
      </c>
      <c r="K197" s="6">
        <f t="shared" si="21"/>
        <v>0.0411868465962054</v>
      </c>
      <c r="L197" s="5">
        <f t="shared" si="22"/>
        <v>2.15230501392758</v>
      </c>
      <c r="M197" s="5">
        <f t="shared" si="23"/>
        <v>13.5855384615385</v>
      </c>
      <c r="N197" s="7">
        <f t="shared" si="24"/>
        <v>1.52828476304797</v>
      </c>
      <c r="O197" s="5">
        <f t="shared" si="25"/>
        <v>3265.55</v>
      </c>
      <c r="P197" s="8">
        <f t="shared" si="26"/>
        <v>34.5671680972841</v>
      </c>
      <c r="Q197" s="3" t="str">
        <f t="shared" si="27"/>
        <v>2025-02</v>
      </c>
    </row>
    <row r="198" customHeight="1" spans="1:17">
      <c r="A198" s="3" t="str">
        <f>Raw_Data!A198</f>
        <v>C0327</v>
      </c>
      <c r="B198" s="4">
        <f>Raw_Data!B198</f>
        <v>45711</v>
      </c>
      <c r="C198" s="3" t="str">
        <f>Raw_Data!C198</f>
        <v>Google Ads</v>
      </c>
      <c r="D198" s="3" t="str">
        <f>Raw_Data!D198</f>
        <v>West</v>
      </c>
      <c r="E198" s="5">
        <f>Raw_Data!E198</f>
        <v>6474.56</v>
      </c>
      <c r="F198" s="5">
        <f>Raw_Data!F198</f>
        <v>6338.94</v>
      </c>
      <c r="G198" s="3">
        <f>Raw_Data!G198</f>
        <v>106540</v>
      </c>
      <c r="H198" s="3">
        <f>Raw_Data!H198</f>
        <v>3157</v>
      </c>
      <c r="I198" s="3">
        <f>Raw_Data!I198</f>
        <v>459</v>
      </c>
      <c r="J198" s="5">
        <f>Raw_Data!J198</f>
        <v>13782.54</v>
      </c>
      <c r="K198" s="6">
        <f t="shared" si="21"/>
        <v>0.0296320630749014</v>
      </c>
      <c r="L198" s="5">
        <f t="shared" si="22"/>
        <v>2.00789990497308</v>
      </c>
      <c r="M198" s="5">
        <f t="shared" si="23"/>
        <v>13.8103267973856</v>
      </c>
      <c r="N198" s="7">
        <f t="shared" si="24"/>
        <v>2.17426572897046</v>
      </c>
      <c r="O198" s="5">
        <f t="shared" si="25"/>
        <v>7443.6</v>
      </c>
      <c r="P198" s="8">
        <f t="shared" si="26"/>
        <v>54.0074616144775</v>
      </c>
      <c r="Q198" s="3" t="str">
        <f t="shared" si="27"/>
        <v>2025-02</v>
      </c>
    </row>
    <row r="199" customHeight="1" spans="1:17">
      <c r="A199" s="3" t="str">
        <f>Raw_Data!A199</f>
        <v>C0279</v>
      </c>
      <c r="B199" s="4">
        <f>Raw_Data!B199</f>
        <v>45711</v>
      </c>
      <c r="C199" s="3" t="str">
        <f>Raw_Data!C199</f>
        <v>LinkedIn</v>
      </c>
      <c r="D199" s="3" t="str">
        <f>Raw_Data!D199</f>
        <v>South</v>
      </c>
      <c r="E199" s="5">
        <f>Raw_Data!E199</f>
        <v>6488.57</v>
      </c>
      <c r="F199" s="5">
        <f>Raw_Data!F199</f>
        <v>6006.32</v>
      </c>
      <c r="G199" s="3">
        <f>Raw_Data!G199</f>
        <v>70597</v>
      </c>
      <c r="H199" s="3">
        <f>Raw_Data!H199</f>
        <v>2706</v>
      </c>
      <c r="I199" s="3">
        <f>Raw_Data!I199</f>
        <v>330</v>
      </c>
      <c r="J199" s="5">
        <f>Raw_Data!J199</f>
        <v>15656.97</v>
      </c>
      <c r="K199" s="6">
        <f t="shared" si="21"/>
        <v>0.0383302406617845</v>
      </c>
      <c r="L199" s="5">
        <f t="shared" si="22"/>
        <v>2.21963045084996</v>
      </c>
      <c r="M199" s="5">
        <f t="shared" si="23"/>
        <v>18.2009696969697</v>
      </c>
      <c r="N199" s="7">
        <f t="shared" si="24"/>
        <v>2.60674922415056</v>
      </c>
      <c r="O199" s="5">
        <f t="shared" si="25"/>
        <v>9650.65</v>
      </c>
      <c r="P199" s="8">
        <f t="shared" si="26"/>
        <v>61.6380436316861</v>
      </c>
      <c r="Q199" s="3" t="str">
        <f t="shared" si="27"/>
        <v>2025-02</v>
      </c>
    </row>
    <row r="200" customHeight="1" spans="1:17">
      <c r="A200" s="3" t="str">
        <f>Raw_Data!A200</f>
        <v>C0270</v>
      </c>
      <c r="B200" s="4">
        <f>Raw_Data!B200</f>
        <v>45711</v>
      </c>
      <c r="C200" s="3" t="str">
        <f>Raw_Data!C200</f>
        <v>LinkedIn</v>
      </c>
      <c r="D200" s="3" t="str">
        <f>Raw_Data!D200</f>
        <v>East</v>
      </c>
      <c r="E200" s="5">
        <f>Raw_Data!E200</f>
        <v>9478.98</v>
      </c>
      <c r="F200" s="5">
        <f>Raw_Data!F200</f>
        <v>8865.23</v>
      </c>
      <c r="G200" s="3">
        <f>Raw_Data!G200</f>
        <v>50483</v>
      </c>
      <c r="H200" s="3">
        <f>Raw_Data!H200</f>
        <v>1111</v>
      </c>
      <c r="I200" s="3">
        <f>Raw_Data!I200</f>
        <v>104</v>
      </c>
      <c r="J200" s="5">
        <f>Raw_Data!J200</f>
        <v>2433.3</v>
      </c>
      <c r="K200" s="6">
        <f t="shared" si="21"/>
        <v>0.0220074084345225</v>
      </c>
      <c r="L200" s="5">
        <f t="shared" si="22"/>
        <v>7.97950495049505</v>
      </c>
      <c r="M200" s="5">
        <f t="shared" si="23"/>
        <v>85.2425961538462</v>
      </c>
      <c r="N200" s="7">
        <f t="shared" si="24"/>
        <v>0.27447680432431</v>
      </c>
      <c r="O200" s="5">
        <f t="shared" si="25"/>
        <v>-6431.93</v>
      </c>
      <c r="P200" s="8">
        <f t="shared" si="26"/>
        <v>-264.329511363169</v>
      </c>
      <c r="Q200" s="3" t="str">
        <f t="shared" si="27"/>
        <v>2025-02</v>
      </c>
    </row>
    <row r="201" customHeight="1" spans="1:17">
      <c r="A201" s="3" t="str">
        <f>Raw_Data!A201</f>
        <v>C0359</v>
      </c>
      <c r="B201" s="4">
        <f>Raw_Data!B201</f>
        <v>45712</v>
      </c>
      <c r="C201" s="3" t="str">
        <f>Raw_Data!C201</f>
        <v>Google Ads</v>
      </c>
      <c r="D201" s="3" t="str">
        <f>Raw_Data!D201</f>
        <v>East</v>
      </c>
      <c r="E201" s="5">
        <f>Raw_Data!E201</f>
        <v>9914.06</v>
      </c>
      <c r="F201" s="5">
        <f>Raw_Data!F201</f>
        <v>9203.54</v>
      </c>
      <c r="G201" s="3">
        <f>Raw_Data!G201</f>
        <v>111688</v>
      </c>
      <c r="H201" s="3">
        <f>Raw_Data!H201</f>
        <v>2013</v>
      </c>
      <c r="I201" s="3">
        <f>Raw_Data!I201</f>
        <v>234</v>
      </c>
      <c r="J201" s="5">
        <f>Raw_Data!J201</f>
        <v>7377.97</v>
      </c>
      <c r="K201" s="6">
        <f t="shared" si="21"/>
        <v>0.0180234223909462</v>
      </c>
      <c r="L201" s="5">
        <f t="shared" si="22"/>
        <v>4.57205166418281</v>
      </c>
      <c r="M201" s="5">
        <f t="shared" si="23"/>
        <v>39.3313675213675</v>
      </c>
      <c r="N201" s="7">
        <f t="shared" si="24"/>
        <v>0.801644801891446</v>
      </c>
      <c r="O201" s="5">
        <f t="shared" si="25"/>
        <v>-1825.57</v>
      </c>
      <c r="P201" s="8">
        <f t="shared" si="26"/>
        <v>-24.7435270135281</v>
      </c>
      <c r="Q201" s="3" t="str">
        <f t="shared" si="27"/>
        <v>2025-02</v>
      </c>
    </row>
    <row r="202" customHeight="1" spans="1:17">
      <c r="A202" s="3" t="str">
        <f>Raw_Data!A202</f>
        <v>C0251</v>
      </c>
      <c r="B202" s="4">
        <f>Raw_Data!B202</f>
        <v>45712</v>
      </c>
      <c r="C202" s="3" t="str">
        <f>Raw_Data!C202</f>
        <v>Google Ads</v>
      </c>
      <c r="D202" s="3" t="str">
        <f>Raw_Data!D202</f>
        <v>East</v>
      </c>
      <c r="E202" s="5">
        <f>Raw_Data!E202</f>
        <v>3818.29</v>
      </c>
      <c r="F202" s="5">
        <f>Raw_Data!F202</f>
        <v>4131.2</v>
      </c>
      <c r="G202" s="3">
        <f>Raw_Data!G202</f>
        <v>197165</v>
      </c>
      <c r="H202" s="3">
        <f>Raw_Data!H202</f>
        <v>8105</v>
      </c>
      <c r="I202" s="3">
        <f>Raw_Data!I202</f>
        <v>869</v>
      </c>
      <c r="J202" s="5">
        <f>Raw_Data!J202</f>
        <v>33744.35</v>
      </c>
      <c r="K202" s="6">
        <f t="shared" si="21"/>
        <v>0.0411077016711891</v>
      </c>
      <c r="L202" s="5">
        <f t="shared" si="22"/>
        <v>0.509710055521283</v>
      </c>
      <c r="M202" s="5">
        <f t="shared" si="23"/>
        <v>4.75397008055236</v>
      </c>
      <c r="N202" s="7">
        <f t="shared" si="24"/>
        <v>8.16817147560031</v>
      </c>
      <c r="O202" s="5">
        <f t="shared" si="25"/>
        <v>29613.15</v>
      </c>
      <c r="P202" s="8">
        <f t="shared" si="26"/>
        <v>87.7573578984334</v>
      </c>
      <c r="Q202" s="3" t="str">
        <f t="shared" si="27"/>
        <v>2025-02</v>
      </c>
    </row>
    <row r="203" customHeight="1" spans="1:17">
      <c r="A203" s="3" t="str">
        <f>Raw_Data!A203</f>
        <v>C0073</v>
      </c>
      <c r="B203" s="4">
        <f>Raw_Data!B203</f>
        <v>45712</v>
      </c>
      <c r="C203" s="3" t="str">
        <f>Raw_Data!C203</f>
        <v>Instagram</v>
      </c>
      <c r="D203" s="3" t="str">
        <f>Raw_Data!D203</f>
        <v>West</v>
      </c>
      <c r="E203" s="5">
        <f>Raw_Data!E203</f>
        <v>5277.8</v>
      </c>
      <c r="F203" s="5">
        <f>Raw_Data!F203</f>
        <v>5404.19</v>
      </c>
      <c r="G203" s="3">
        <f>Raw_Data!G203</f>
        <v>173181</v>
      </c>
      <c r="H203" s="3">
        <f>Raw_Data!H203</f>
        <v>6365</v>
      </c>
      <c r="I203" s="3">
        <f>Raw_Data!I203</f>
        <v>651</v>
      </c>
      <c r="J203" s="5">
        <f>Raw_Data!J203</f>
        <v>25707.33</v>
      </c>
      <c r="K203" s="6">
        <f t="shared" si="21"/>
        <v>0.0367534544782626</v>
      </c>
      <c r="L203" s="5">
        <f t="shared" si="22"/>
        <v>0.849047918303221</v>
      </c>
      <c r="M203" s="5">
        <f t="shared" si="23"/>
        <v>8.30136712749616</v>
      </c>
      <c r="N203" s="7">
        <f t="shared" si="24"/>
        <v>4.75692564473122</v>
      </c>
      <c r="O203" s="5">
        <f t="shared" si="25"/>
        <v>20303.14</v>
      </c>
      <c r="P203" s="8">
        <f t="shared" si="26"/>
        <v>78.9780191097247</v>
      </c>
      <c r="Q203" s="3" t="str">
        <f t="shared" si="27"/>
        <v>2025-02</v>
      </c>
    </row>
    <row r="204" customHeight="1" spans="1:17">
      <c r="A204" s="3" t="str">
        <f>Raw_Data!A204</f>
        <v>C0268</v>
      </c>
      <c r="B204" s="4">
        <f>Raw_Data!B204</f>
        <v>45713</v>
      </c>
      <c r="C204" s="3" t="str">
        <f>Raw_Data!C204</f>
        <v>Google Ads</v>
      </c>
      <c r="D204" s="3" t="str">
        <f>Raw_Data!D204</f>
        <v>East</v>
      </c>
      <c r="E204" s="5">
        <f>Raw_Data!E204</f>
        <v>4067.77</v>
      </c>
      <c r="F204" s="5">
        <f>Raw_Data!F204</f>
        <v>3957.48</v>
      </c>
      <c r="G204" s="3">
        <f>Raw_Data!G204</f>
        <v>74611</v>
      </c>
      <c r="H204" s="3">
        <f>Raw_Data!H204</f>
        <v>2423</v>
      </c>
      <c r="I204" s="3">
        <f>Raw_Data!I204</f>
        <v>354</v>
      </c>
      <c r="J204" s="5">
        <f>Raw_Data!J204</f>
        <v>13523.31</v>
      </c>
      <c r="K204" s="6">
        <f t="shared" si="21"/>
        <v>0.0324751042071544</v>
      </c>
      <c r="L204" s="5">
        <f t="shared" si="22"/>
        <v>1.63329756500206</v>
      </c>
      <c r="M204" s="5">
        <f t="shared" si="23"/>
        <v>11.1793220338983</v>
      </c>
      <c r="N204" s="7">
        <f t="shared" si="24"/>
        <v>3.41715182388793</v>
      </c>
      <c r="O204" s="5">
        <f t="shared" si="25"/>
        <v>9565.83</v>
      </c>
      <c r="P204" s="8">
        <f t="shared" si="26"/>
        <v>70.7358627436626</v>
      </c>
      <c r="Q204" s="3" t="str">
        <f t="shared" si="27"/>
        <v>2025-02</v>
      </c>
    </row>
    <row r="205" customHeight="1" spans="1:17">
      <c r="A205" s="3" t="str">
        <f>Raw_Data!A205</f>
        <v>C0172</v>
      </c>
      <c r="B205" s="4">
        <f>Raw_Data!B205</f>
        <v>45713</v>
      </c>
      <c r="C205" s="3" t="str">
        <f>Raw_Data!C205</f>
        <v>Twitter</v>
      </c>
      <c r="D205" s="3" t="str">
        <f>Raw_Data!D205</f>
        <v>West</v>
      </c>
      <c r="E205" s="5">
        <f>Raw_Data!E205</f>
        <v>9062.45</v>
      </c>
      <c r="F205" s="5">
        <f>Raw_Data!F205</f>
        <v>7372.9</v>
      </c>
      <c r="G205" s="3">
        <f>Raw_Data!G205</f>
        <v>105156</v>
      </c>
      <c r="H205" s="3">
        <f>Raw_Data!H205</f>
        <v>3813</v>
      </c>
      <c r="I205" s="3">
        <f>Raw_Data!I205</f>
        <v>632</v>
      </c>
      <c r="J205" s="5">
        <f>Raw_Data!J205</f>
        <v>13139.92</v>
      </c>
      <c r="K205" s="6">
        <f t="shared" si="21"/>
        <v>0.0362604131005363</v>
      </c>
      <c r="L205" s="5">
        <f t="shared" si="22"/>
        <v>1.93362182008917</v>
      </c>
      <c r="M205" s="5">
        <f t="shared" si="23"/>
        <v>11.6659810126582</v>
      </c>
      <c r="N205" s="7">
        <f t="shared" si="24"/>
        <v>1.78219153928576</v>
      </c>
      <c r="O205" s="5">
        <f t="shared" si="25"/>
        <v>5767.02</v>
      </c>
      <c r="P205" s="8">
        <f t="shared" si="26"/>
        <v>43.8893083062911</v>
      </c>
      <c r="Q205" s="3" t="str">
        <f t="shared" si="27"/>
        <v>2025-02</v>
      </c>
    </row>
    <row r="206" customHeight="1" spans="1:17">
      <c r="A206" s="3" t="str">
        <f>Raw_Data!A206</f>
        <v>C0134</v>
      </c>
      <c r="B206" s="4">
        <f>Raw_Data!B206</f>
        <v>45713</v>
      </c>
      <c r="C206" s="3" t="str">
        <f>Raw_Data!C206</f>
        <v>Facebook</v>
      </c>
      <c r="D206" s="3" t="str">
        <f>Raw_Data!D206</f>
        <v>South</v>
      </c>
      <c r="E206" s="5">
        <f>Raw_Data!E206</f>
        <v>8281.8</v>
      </c>
      <c r="F206" s="5">
        <f>Raw_Data!F206</f>
        <v>6881.66</v>
      </c>
      <c r="G206" s="3">
        <f>Raw_Data!G206</f>
        <v>77279</v>
      </c>
      <c r="H206" s="3">
        <f>Raw_Data!H206</f>
        <v>3326</v>
      </c>
      <c r="I206" s="3">
        <f>Raw_Data!I206</f>
        <v>210</v>
      </c>
      <c r="J206" s="5">
        <f>Raw_Data!J206</f>
        <v>9886.08</v>
      </c>
      <c r="K206" s="6">
        <f t="shared" si="21"/>
        <v>0.0430388591984886</v>
      </c>
      <c r="L206" s="5">
        <f t="shared" si="22"/>
        <v>2.06904990980156</v>
      </c>
      <c r="M206" s="5">
        <f t="shared" si="23"/>
        <v>32.7698095238095</v>
      </c>
      <c r="N206" s="7">
        <f t="shared" si="24"/>
        <v>1.43658361499987</v>
      </c>
      <c r="O206" s="5">
        <f t="shared" si="25"/>
        <v>3004.42</v>
      </c>
      <c r="P206" s="8">
        <f t="shared" si="26"/>
        <v>30.3904075224963</v>
      </c>
      <c r="Q206" s="3" t="str">
        <f t="shared" si="27"/>
        <v>2025-02</v>
      </c>
    </row>
    <row r="207" customHeight="1" spans="1:17">
      <c r="A207" s="3" t="str">
        <f>Raw_Data!A207</f>
        <v>C0430</v>
      </c>
      <c r="B207" s="4">
        <f>Raw_Data!B207</f>
        <v>45713</v>
      </c>
      <c r="C207" s="3" t="str">
        <f>Raw_Data!C207</f>
        <v>LinkedIn</v>
      </c>
      <c r="D207" s="3" t="str">
        <f>Raw_Data!D207</f>
        <v>North</v>
      </c>
      <c r="E207" s="5">
        <f>Raw_Data!E207</f>
        <v>5454.39</v>
      </c>
      <c r="F207" s="5">
        <f>Raw_Data!F207</f>
        <v>4417.84</v>
      </c>
      <c r="G207" s="3">
        <f>Raw_Data!G207</f>
        <v>111462</v>
      </c>
      <c r="H207" s="3">
        <f>Raw_Data!H207</f>
        <v>5187</v>
      </c>
      <c r="I207" s="3">
        <f>Raw_Data!I207</f>
        <v>280</v>
      </c>
      <c r="J207" s="5">
        <f>Raw_Data!J207</f>
        <v>6260.06</v>
      </c>
      <c r="K207" s="6">
        <f t="shared" si="21"/>
        <v>0.0465360391882435</v>
      </c>
      <c r="L207" s="5">
        <f t="shared" si="22"/>
        <v>0.851713900134953</v>
      </c>
      <c r="M207" s="5">
        <f t="shared" si="23"/>
        <v>15.778</v>
      </c>
      <c r="N207" s="7">
        <f t="shared" si="24"/>
        <v>1.41699563587636</v>
      </c>
      <c r="O207" s="5">
        <f t="shared" si="25"/>
        <v>1842.22</v>
      </c>
      <c r="P207" s="8">
        <f t="shared" si="26"/>
        <v>29.4281524458232</v>
      </c>
      <c r="Q207" s="3" t="str">
        <f t="shared" si="27"/>
        <v>2025-02</v>
      </c>
    </row>
    <row r="208" customHeight="1" spans="1:17">
      <c r="A208" s="3" t="str">
        <f>Raw_Data!A208</f>
        <v>C0078</v>
      </c>
      <c r="B208" s="4">
        <f>Raw_Data!B208</f>
        <v>45713</v>
      </c>
      <c r="C208" s="3" t="str">
        <f>Raw_Data!C208</f>
        <v>Google Ads</v>
      </c>
      <c r="D208" s="3" t="str">
        <f>Raw_Data!D208</f>
        <v>West</v>
      </c>
      <c r="E208" s="5">
        <f>Raw_Data!E208</f>
        <v>6518.46</v>
      </c>
      <c r="F208" s="5">
        <f>Raw_Data!F208</f>
        <v>6342.93</v>
      </c>
      <c r="G208" s="3">
        <f>Raw_Data!G208</f>
        <v>103713</v>
      </c>
      <c r="H208" s="3">
        <f>Raw_Data!H208</f>
        <v>2193</v>
      </c>
      <c r="I208" s="3">
        <f>Raw_Data!I208</f>
        <v>165</v>
      </c>
      <c r="J208" s="5">
        <f>Raw_Data!J208</f>
        <v>5737.96</v>
      </c>
      <c r="K208" s="6">
        <f t="shared" si="21"/>
        <v>0.0211448902259119</v>
      </c>
      <c r="L208" s="5">
        <f t="shared" si="22"/>
        <v>2.89235294117647</v>
      </c>
      <c r="M208" s="5">
        <f t="shared" si="23"/>
        <v>38.442</v>
      </c>
      <c r="N208" s="7">
        <f t="shared" si="24"/>
        <v>0.90462294239413</v>
      </c>
      <c r="O208" s="5">
        <f t="shared" si="25"/>
        <v>-604.97</v>
      </c>
      <c r="P208" s="8">
        <f t="shared" si="26"/>
        <v>-10.5432941324094</v>
      </c>
      <c r="Q208" s="3" t="str">
        <f t="shared" si="27"/>
        <v>2025-02</v>
      </c>
    </row>
    <row r="209" customHeight="1" spans="1:17">
      <c r="A209" s="3" t="str">
        <f>Raw_Data!A209</f>
        <v>C0308</v>
      </c>
      <c r="B209" s="4">
        <f>Raw_Data!B209</f>
        <v>45714</v>
      </c>
      <c r="C209" s="3" t="str">
        <f>Raw_Data!C209</f>
        <v>LinkedIn</v>
      </c>
      <c r="D209" s="3" t="str">
        <f>Raw_Data!D209</f>
        <v>East</v>
      </c>
      <c r="E209" s="5">
        <f>Raw_Data!E209</f>
        <v>6412.02</v>
      </c>
      <c r="F209" s="5">
        <f>Raw_Data!F209</f>
        <v>6850.38</v>
      </c>
      <c r="G209" s="3">
        <f>Raw_Data!G209</f>
        <v>180247</v>
      </c>
      <c r="H209" s="3">
        <f>Raw_Data!H209</f>
        <v>6040</v>
      </c>
      <c r="I209" s="3">
        <f>Raw_Data!I209</f>
        <v>1020</v>
      </c>
      <c r="J209" s="5">
        <f>Raw_Data!J209</f>
        <v>44875.57</v>
      </c>
      <c r="K209" s="6">
        <f t="shared" si="21"/>
        <v>0.0335095729748623</v>
      </c>
      <c r="L209" s="5">
        <f t="shared" si="22"/>
        <v>1.13416887417219</v>
      </c>
      <c r="M209" s="5">
        <f t="shared" si="23"/>
        <v>6.71605882352941</v>
      </c>
      <c r="N209" s="7">
        <f t="shared" si="24"/>
        <v>6.55081469933055</v>
      </c>
      <c r="O209" s="5">
        <f t="shared" si="25"/>
        <v>38025.19</v>
      </c>
      <c r="P209" s="8">
        <f t="shared" si="26"/>
        <v>84.7347231466921</v>
      </c>
      <c r="Q209" s="3" t="str">
        <f t="shared" si="27"/>
        <v>2025-02</v>
      </c>
    </row>
    <row r="210" customHeight="1" spans="1:17">
      <c r="A210" s="3" t="str">
        <f>Raw_Data!A210</f>
        <v>C0425</v>
      </c>
      <c r="B210" s="4">
        <f>Raw_Data!B210</f>
        <v>45714</v>
      </c>
      <c r="C210" s="3" t="str">
        <f>Raw_Data!C210</f>
        <v>Instagram</v>
      </c>
      <c r="D210" s="3" t="str">
        <f>Raw_Data!D210</f>
        <v>South</v>
      </c>
      <c r="E210" s="5">
        <f>Raw_Data!E210</f>
        <v>8458.96</v>
      </c>
      <c r="F210" s="5">
        <f>Raw_Data!F210</f>
        <v>6867.71</v>
      </c>
      <c r="G210" s="3">
        <f>Raw_Data!G210</f>
        <v>151737</v>
      </c>
      <c r="H210" s="3">
        <f>Raw_Data!H210</f>
        <v>6324</v>
      </c>
      <c r="I210" s="3">
        <f>Raw_Data!I210</f>
        <v>1140</v>
      </c>
      <c r="J210" s="5">
        <f>Raw_Data!J210</f>
        <v>39233.34</v>
      </c>
      <c r="K210" s="6">
        <f t="shared" si="21"/>
        <v>0.0416773759860812</v>
      </c>
      <c r="L210" s="5">
        <f t="shared" si="22"/>
        <v>1.08597564832385</v>
      </c>
      <c r="M210" s="5">
        <f t="shared" si="23"/>
        <v>6.02430701754386</v>
      </c>
      <c r="N210" s="7">
        <f t="shared" si="24"/>
        <v>5.71272520243283</v>
      </c>
      <c r="O210" s="5">
        <f t="shared" si="25"/>
        <v>32365.63</v>
      </c>
      <c r="P210" s="8">
        <f t="shared" si="26"/>
        <v>82.4952196269805</v>
      </c>
      <c r="Q210" s="3" t="str">
        <f t="shared" si="27"/>
        <v>2025-02</v>
      </c>
    </row>
    <row r="211" customHeight="1" spans="1:17">
      <c r="A211" s="3" t="str">
        <f>Raw_Data!A211</f>
        <v>C0205</v>
      </c>
      <c r="B211" s="4">
        <f>Raw_Data!B211</f>
        <v>45715</v>
      </c>
      <c r="C211" s="3" t="str">
        <f>Raw_Data!C211</f>
        <v>Google Ads</v>
      </c>
      <c r="D211" s="3" t="str">
        <f>Raw_Data!D211</f>
        <v>South</v>
      </c>
      <c r="E211" s="5">
        <f>Raw_Data!E211</f>
        <v>7395.3</v>
      </c>
      <c r="F211" s="5">
        <f>Raw_Data!F211</f>
        <v>6097.63</v>
      </c>
      <c r="G211" s="3">
        <f>Raw_Data!G211</f>
        <v>109858</v>
      </c>
      <c r="H211" s="3">
        <f>Raw_Data!H211</f>
        <v>3804</v>
      </c>
      <c r="I211" s="3">
        <f>Raw_Data!I211</f>
        <v>713</v>
      </c>
      <c r="J211" s="5">
        <f>Raw_Data!J211</f>
        <v>32945.85</v>
      </c>
      <c r="K211" s="6">
        <f t="shared" si="21"/>
        <v>0.0346265178685212</v>
      </c>
      <c r="L211" s="5">
        <f t="shared" si="22"/>
        <v>1.60295215562566</v>
      </c>
      <c r="M211" s="5">
        <f t="shared" si="23"/>
        <v>8.55207573632538</v>
      </c>
      <c r="N211" s="7">
        <f t="shared" si="24"/>
        <v>5.40305823738075</v>
      </c>
      <c r="O211" s="5">
        <f t="shared" si="25"/>
        <v>26848.22</v>
      </c>
      <c r="P211" s="8">
        <f t="shared" si="26"/>
        <v>81.4919633277029</v>
      </c>
      <c r="Q211" s="3" t="str">
        <f t="shared" si="27"/>
        <v>2025-02</v>
      </c>
    </row>
    <row r="212" customHeight="1" spans="1:17">
      <c r="A212" s="3" t="str">
        <f>Raw_Data!A212</f>
        <v>C0136</v>
      </c>
      <c r="B212" s="4">
        <f>Raw_Data!B212</f>
        <v>45715</v>
      </c>
      <c r="C212" s="3" t="str">
        <f>Raw_Data!C212</f>
        <v>Facebook</v>
      </c>
      <c r="D212" s="3" t="str">
        <f>Raw_Data!D212</f>
        <v>West</v>
      </c>
      <c r="E212" s="5">
        <f>Raw_Data!E212</f>
        <v>9268.66</v>
      </c>
      <c r="F212" s="5">
        <f>Raw_Data!F212</f>
        <v>8497.14</v>
      </c>
      <c r="G212" s="3">
        <f>Raw_Data!G212</f>
        <v>168167</v>
      </c>
      <c r="H212" s="3">
        <f>Raw_Data!H212</f>
        <v>4467</v>
      </c>
      <c r="I212" s="3">
        <f>Raw_Data!I212</f>
        <v>63</v>
      </c>
      <c r="J212" s="5">
        <f>Raw_Data!J212</f>
        <v>1280.48</v>
      </c>
      <c r="K212" s="6">
        <f t="shared" si="21"/>
        <v>0.0265628809457266</v>
      </c>
      <c r="L212" s="5">
        <f t="shared" si="22"/>
        <v>1.90220282068502</v>
      </c>
      <c r="M212" s="5">
        <f t="shared" si="23"/>
        <v>134.875238095238</v>
      </c>
      <c r="N212" s="7">
        <f t="shared" si="24"/>
        <v>0.150695410455753</v>
      </c>
      <c r="O212" s="5">
        <f t="shared" si="25"/>
        <v>-7216.66</v>
      </c>
      <c r="P212" s="8">
        <f t="shared" si="26"/>
        <v>-563.590216168937</v>
      </c>
      <c r="Q212" s="3" t="str">
        <f t="shared" si="27"/>
        <v>2025-02</v>
      </c>
    </row>
    <row r="213" customHeight="1" spans="1:17">
      <c r="A213" s="3" t="str">
        <f>Raw_Data!A213</f>
        <v>C0182</v>
      </c>
      <c r="B213" s="4">
        <f>Raw_Data!B213</f>
        <v>45715</v>
      </c>
      <c r="C213" s="3" t="str">
        <f>Raw_Data!C213</f>
        <v>Twitter</v>
      </c>
      <c r="D213" s="3" t="str">
        <f>Raw_Data!D213</f>
        <v>South</v>
      </c>
      <c r="E213" s="5">
        <f>Raw_Data!E213</f>
        <v>7701.9</v>
      </c>
      <c r="F213" s="5">
        <f>Raw_Data!F213</f>
        <v>7589.75</v>
      </c>
      <c r="G213" s="3">
        <f>Raw_Data!G213</f>
        <v>59223</v>
      </c>
      <c r="H213" s="3">
        <f>Raw_Data!H213</f>
        <v>1286</v>
      </c>
      <c r="I213" s="3">
        <f>Raw_Data!I213</f>
        <v>233</v>
      </c>
      <c r="J213" s="5">
        <f>Raw_Data!J213</f>
        <v>7163.56</v>
      </c>
      <c r="K213" s="6">
        <f t="shared" si="21"/>
        <v>0.0217145365820712</v>
      </c>
      <c r="L213" s="5">
        <f t="shared" si="22"/>
        <v>5.90182737169518</v>
      </c>
      <c r="M213" s="5">
        <f t="shared" si="23"/>
        <v>32.574034334764</v>
      </c>
      <c r="N213" s="7">
        <f t="shared" si="24"/>
        <v>0.943846635264666</v>
      </c>
      <c r="O213" s="5">
        <f t="shared" si="25"/>
        <v>-426.19</v>
      </c>
      <c r="P213" s="8">
        <f t="shared" si="26"/>
        <v>-5.94941621205099</v>
      </c>
      <c r="Q213" s="3" t="str">
        <f t="shared" si="27"/>
        <v>2025-02</v>
      </c>
    </row>
    <row r="214" customHeight="1" spans="1:17">
      <c r="A214" s="3" t="str">
        <f>Raw_Data!A214</f>
        <v>C0166</v>
      </c>
      <c r="B214" s="4">
        <f>Raw_Data!B214</f>
        <v>45716</v>
      </c>
      <c r="C214" s="3" t="str">
        <f>Raw_Data!C214</f>
        <v>Twitter</v>
      </c>
      <c r="D214" s="3" t="str">
        <f>Raw_Data!D214</f>
        <v>West</v>
      </c>
      <c r="E214" s="5">
        <f>Raw_Data!E214</f>
        <v>5473.47</v>
      </c>
      <c r="F214" s="5">
        <f>Raw_Data!F214</f>
        <v>5337.16</v>
      </c>
      <c r="G214" s="3">
        <f>Raw_Data!G214</f>
        <v>95888</v>
      </c>
      <c r="H214" s="3">
        <f>Raw_Data!H214</f>
        <v>2400</v>
      </c>
      <c r="I214" s="3">
        <f>Raw_Data!I214</f>
        <v>189</v>
      </c>
      <c r="J214" s="5">
        <f>Raw_Data!J214</f>
        <v>4220.76</v>
      </c>
      <c r="K214" s="6">
        <f t="shared" si="21"/>
        <v>0.0250292007341899</v>
      </c>
      <c r="L214" s="5">
        <f t="shared" si="22"/>
        <v>2.22381666666667</v>
      </c>
      <c r="M214" s="5">
        <f t="shared" si="23"/>
        <v>28.2389417989418</v>
      </c>
      <c r="N214" s="7">
        <f t="shared" si="24"/>
        <v>0.790825083002945</v>
      </c>
      <c r="O214" s="5">
        <f t="shared" si="25"/>
        <v>-1116.4</v>
      </c>
      <c r="P214" s="8">
        <f t="shared" si="26"/>
        <v>-26.4502127578919</v>
      </c>
      <c r="Q214" s="3" t="str">
        <f t="shared" si="27"/>
        <v>2025-02</v>
      </c>
    </row>
    <row r="215" customHeight="1" spans="1:17">
      <c r="A215" s="3" t="str">
        <f>Raw_Data!A215</f>
        <v>C0108</v>
      </c>
      <c r="B215" s="4">
        <f>Raw_Data!B215</f>
        <v>45716</v>
      </c>
      <c r="C215" s="3" t="str">
        <f>Raw_Data!C215</f>
        <v>LinkedIn</v>
      </c>
      <c r="D215" s="3" t="str">
        <f>Raw_Data!D215</f>
        <v>North</v>
      </c>
      <c r="E215" s="5">
        <f>Raw_Data!E215</f>
        <v>8002.17</v>
      </c>
      <c r="F215" s="5">
        <f>Raw_Data!F215</f>
        <v>7986.64</v>
      </c>
      <c r="G215" s="3">
        <f>Raw_Data!G215</f>
        <v>178492</v>
      </c>
      <c r="H215" s="3">
        <f>Raw_Data!H215</f>
        <v>2018</v>
      </c>
      <c r="I215" s="3">
        <f>Raw_Data!I215</f>
        <v>385</v>
      </c>
      <c r="J215" s="5">
        <f>Raw_Data!J215</f>
        <v>10933.24</v>
      </c>
      <c r="K215" s="6">
        <f t="shared" si="21"/>
        <v>0.0113058288326648</v>
      </c>
      <c r="L215" s="5">
        <f t="shared" si="22"/>
        <v>3.95770069375619</v>
      </c>
      <c r="M215" s="5">
        <f t="shared" si="23"/>
        <v>20.7445194805195</v>
      </c>
      <c r="N215" s="7">
        <f t="shared" si="24"/>
        <v>1.36894113168992</v>
      </c>
      <c r="O215" s="5">
        <f t="shared" si="25"/>
        <v>2946.6</v>
      </c>
      <c r="P215" s="8">
        <f t="shared" si="26"/>
        <v>26.9508398242424</v>
      </c>
      <c r="Q215" s="3" t="str">
        <f t="shared" si="27"/>
        <v>2025-02</v>
      </c>
    </row>
    <row r="216" customHeight="1" spans="1:17">
      <c r="A216" s="3" t="str">
        <f>Raw_Data!A216</f>
        <v>C0389</v>
      </c>
      <c r="B216" s="4">
        <f>Raw_Data!B216</f>
        <v>45716</v>
      </c>
      <c r="C216" s="3" t="str">
        <f>Raw_Data!C216</f>
        <v>Google Ads</v>
      </c>
      <c r="D216" s="3" t="str">
        <f>Raw_Data!D216</f>
        <v>South</v>
      </c>
      <c r="E216" s="5">
        <f>Raw_Data!E216</f>
        <v>4125.32</v>
      </c>
      <c r="F216" s="5">
        <f>Raw_Data!F216</f>
        <v>4312.57</v>
      </c>
      <c r="G216" s="3">
        <f>Raw_Data!G216</f>
        <v>119124</v>
      </c>
      <c r="H216" s="3">
        <f>Raw_Data!H216</f>
        <v>3940</v>
      </c>
      <c r="I216" s="3">
        <f>Raw_Data!I216</f>
        <v>727</v>
      </c>
      <c r="J216" s="5">
        <f>Raw_Data!J216</f>
        <v>32688.85</v>
      </c>
      <c r="K216" s="6">
        <f t="shared" si="21"/>
        <v>0.0330747792216514</v>
      </c>
      <c r="L216" s="5">
        <f t="shared" si="22"/>
        <v>1.09456091370558</v>
      </c>
      <c r="M216" s="5">
        <f t="shared" si="23"/>
        <v>5.93200825309491</v>
      </c>
      <c r="N216" s="7">
        <f t="shared" si="24"/>
        <v>7.57990015234535</v>
      </c>
      <c r="O216" s="5">
        <f t="shared" si="25"/>
        <v>28376.28</v>
      </c>
      <c r="P216" s="8">
        <f t="shared" si="26"/>
        <v>86.8072140806422</v>
      </c>
      <c r="Q216" s="3" t="str">
        <f t="shared" si="27"/>
        <v>2025-02</v>
      </c>
    </row>
    <row r="217" customHeight="1" spans="1:17">
      <c r="A217" s="3" t="str">
        <f>Raw_Data!A217</f>
        <v>C0063</v>
      </c>
      <c r="B217" s="4">
        <f>Raw_Data!B217</f>
        <v>45717</v>
      </c>
      <c r="C217" s="3" t="str">
        <f>Raw_Data!C217</f>
        <v>Twitter</v>
      </c>
      <c r="D217" s="3" t="str">
        <f>Raw_Data!D217</f>
        <v>East</v>
      </c>
      <c r="E217" s="5">
        <f>Raw_Data!E217</f>
        <v>8720.56</v>
      </c>
      <c r="F217" s="5">
        <f>Raw_Data!F217</f>
        <v>8428.95</v>
      </c>
      <c r="G217" s="3">
        <f>Raw_Data!G217</f>
        <v>136864</v>
      </c>
      <c r="H217" s="3">
        <f>Raw_Data!H217</f>
        <v>3696</v>
      </c>
      <c r="I217" s="3">
        <f>Raw_Data!I217</f>
        <v>599</v>
      </c>
      <c r="J217" s="5">
        <f>Raw_Data!J217</f>
        <v>21497.82</v>
      </c>
      <c r="K217" s="6">
        <f t="shared" si="21"/>
        <v>0.0270049099836334</v>
      </c>
      <c r="L217" s="5">
        <f t="shared" si="22"/>
        <v>2.28056006493507</v>
      </c>
      <c r="M217" s="5">
        <f t="shared" si="23"/>
        <v>14.0717028380634</v>
      </c>
      <c r="N217" s="7">
        <f t="shared" si="24"/>
        <v>2.55047425835958</v>
      </c>
      <c r="O217" s="5">
        <f t="shared" si="25"/>
        <v>13068.87</v>
      </c>
      <c r="P217" s="8">
        <f t="shared" si="26"/>
        <v>60.7916058465463</v>
      </c>
      <c r="Q217" s="3" t="str">
        <f t="shared" si="27"/>
        <v>2025-03</v>
      </c>
    </row>
    <row r="218" customHeight="1" spans="1:17">
      <c r="A218" s="3" t="str">
        <f>Raw_Data!A218</f>
        <v>C0300</v>
      </c>
      <c r="B218" s="4">
        <f>Raw_Data!B218</f>
        <v>45718</v>
      </c>
      <c r="C218" s="3" t="str">
        <f>Raw_Data!C218</f>
        <v>LinkedIn</v>
      </c>
      <c r="D218" s="3" t="str">
        <f>Raw_Data!D218</f>
        <v>East</v>
      </c>
      <c r="E218" s="5">
        <f>Raw_Data!E218</f>
        <v>9274.35</v>
      </c>
      <c r="F218" s="5">
        <f>Raw_Data!F218</f>
        <v>7455.66</v>
      </c>
      <c r="G218" s="3">
        <f>Raw_Data!G218</f>
        <v>195593</v>
      </c>
      <c r="H218" s="3">
        <f>Raw_Data!H218</f>
        <v>5136</v>
      </c>
      <c r="I218" s="3">
        <f>Raw_Data!I218</f>
        <v>798</v>
      </c>
      <c r="J218" s="5">
        <f>Raw_Data!J218</f>
        <v>18007.07</v>
      </c>
      <c r="K218" s="6">
        <f t="shared" si="21"/>
        <v>0.0262586084369073</v>
      </c>
      <c r="L218" s="5">
        <f t="shared" si="22"/>
        <v>1.45164719626168</v>
      </c>
      <c r="M218" s="5">
        <f t="shared" si="23"/>
        <v>9.34293233082707</v>
      </c>
      <c r="N218" s="7">
        <f t="shared" si="24"/>
        <v>2.41522145591403</v>
      </c>
      <c r="O218" s="5">
        <f t="shared" si="25"/>
        <v>10551.41</v>
      </c>
      <c r="P218" s="8">
        <f t="shared" si="26"/>
        <v>58.5959292655607</v>
      </c>
      <c r="Q218" s="3" t="str">
        <f t="shared" si="27"/>
        <v>2025-03</v>
      </c>
    </row>
    <row r="219" customHeight="1" spans="1:17">
      <c r="A219" s="3" t="str">
        <f>Raw_Data!A219</f>
        <v>C0163</v>
      </c>
      <c r="B219" s="4">
        <f>Raw_Data!B219</f>
        <v>45718</v>
      </c>
      <c r="C219" s="3" t="str">
        <f>Raw_Data!C219</f>
        <v>Instagram</v>
      </c>
      <c r="D219" s="3" t="str">
        <f>Raw_Data!D219</f>
        <v>East</v>
      </c>
      <c r="E219" s="5">
        <f>Raw_Data!E219</f>
        <v>3318.12</v>
      </c>
      <c r="F219" s="5">
        <f>Raw_Data!F219</f>
        <v>2934.18</v>
      </c>
      <c r="G219" s="3">
        <f>Raw_Data!G219</f>
        <v>173652</v>
      </c>
      <c r="H219" s="3">
        <f>Raw_Data!H219</f>
        <v>3397</v>
      </c>
      <c r="I219" s="3">
        <f>Raw_Data!I219</f>
        <v>329</v>
      </c>
      <c r="J219" s="5">
        <f>Raw_Data!J219</f>
        <v>15960.56</v>
      </c>
      <c r="K219" s="6">
        <f t="shared" si="21"/>
        <v>0.0195621127312095</v>
      </c>
      <c r="L219" s="5">
        <f t="shared" si="22"/>
        <v>0.863756255519576</v>
      </c>
      <c r="M219" s="5">
        <f t="shared" si="23"/>
        <v>8.91848024316109</v>
      </c>
      <c r="N219" s="7">
        <f t="shared" si="24"/>
        <v>5.43952995385423</v>
      </c>
      <c r="O219" s="5">
        <f t="shared" si="25"/>
        <v>13026.38</v>
      </c>
      <c r="P219" s="8">
        <f t="shared" si="26"/>
        <v>81.6160585844106</v>
      </c>
      <c r="Q219" s="3" t="str">
        <f t="shared" si="27"/>
        <v>2025-03</v>
      </c>
    </row>
    <row r="220" customHeight="1" spans="1:17">
      <c r="A220" s="3" t="str">
        <f>Raw_Data!A220</f>
        <v>C0369</v>
      </c>
      <c r="B220" s="4">
        <f>Raw_Data!B220</f>
        <v>45719</v>
      </c>
      <c r="C220" s="3" t="str">
        <f>Raw_Data!C220</f>
        <v>Facebook</v>
      </c>
      <c r="D220" s="3" t="str">
        <f>Raw_Data!D220</f>
        <v>North</v>
      </c>
      <c r="E220" s="5">
        <f>Raw_Data!E220</f>
        <v>9964.35</v>
      </c>
      <c r="F220" s="5">
        <f>Raw_Data!F220</f>
        <v>8491.31</v>
      </c>
      <c r="G220" s="3">
        <f>Raw_Data!G220</f>
        <v>124998</v>
      </c>
      <c r="H220" s="3">
        <f>Raw_Data!H220</f>
        <v>5305</v>
      </c>
      <c r="I220" s="3">
        <f>Raw_Data!I220</f>
        <v>1051</v>
      </c>
      <c r="J220" s="5">
        <f>Raw_Data!J220</f>
        <v>33513.51</v>
      </c>
      <c r="K220" s="6">
        <f t="shared" si="21"/>
        <v>0.0424406790508648</v>
      </c>
      <c r="L220" s="5">
        <f t="shared" si="22"/>
        <v>1.60062393967955</v>
      </c>
      <c r="M220" s="5">
        <f t="shared" si="23"/>
        <v>8.07926736441484</v>
      </c>
      <c r="N220" s="7">
        <f t="shared" si="24"/>
        <v>3.94680090586729</v>
      </c>
      <c r="O220" s="5">
        <f t="shared" si="25"/>
        <v>25022.2</v>
      </c>
      <c r="P220" s="8">
        <f t="shared" si="26"/>
        <v>74.6630239566074</v>
      </c>
      <c r="Q220" s="3" t="str">
        <f t="shared" si="27"/>
        <v>2025-03</v>
      </c>
    </row>
    <row r="221" customHeight="1" spans="1:17">
      <c r="A221" s="3" t="str">
        <f>Raw_Data!A221</f>
        <v>C0448</v>
      </c>
      <c r="B221" s="4">
        <f>Raw_Data!B221</f>
        <v>45719</v>
      </c>
      <c r="C221" s="3" t="str">
        <f>Raw_Data!C221</f>
        <v>Google Ads</v>
      </c>
      <c r="D221" s="3" t="str">
        <f>Raw_Data!D221</f>
        <v>North</v>
      </c>
      <c r="E221" s="5">
        <f>Raw_Data!E221</f>
        <v>6238.36</v>
      </c>
      <c r="F221" s="5">
        <f>Raw_Data!F221</f>
        <v>6615.67</v>
      </c>
      <c r="G221" s="3">
        <f>Raw_Data!G221</f>
        <v>97411</v>
      </c>
      <c r="H221" s="3">
        <f>Raw_Data!H221</f>
        <v>2282</v>
      </c>
      <c r="I221" s="3">
        <f>Raw_Data!I221</f>
        <v>391</v>
      </c>
      <c r="J221" s="5">
        <f>Raw_Data!J221</f>
        <v>16349.69</v>
      </c>
      <c r="K221" s="6">
        <f t="shared" si="21"/>
        <v>0.0234265124061964</v>
      </c>
      <c r="L221" s="5">
        <f t="shared" si="22"/>
        <v>2.89906660823839</v>
      </c>
      <c r="M221" s="5">
        <f t="shared" si="23"/>
        <v>16.9198721227621</v>
      </c>
      <c r="N221" s="7">
        <f t="shared" si="24"/>
        <v>2.47135815420056</v>
      </c>
      <c r="O221" s="5">
        <f t="shared" si="25"/>
        <v>9734.02</v>
      </c>
      <c r="P221" s="8">
        <f t="shared" si="26"/>
        <v>59.5364193449539</v>
      </c>
      <c r="Q221" s="3" t="str">
        <f t="shared" si="27"/>
        <v>2025-03</v>
      </c>
    </row>
    <row r="222" customHeight="1" spans="1:17">
      <c r="A222" s="3" t="str">
        <f>Raw_Data!A222</f>
        <v>C0399</v>
      </c>
      <c r="B222" s="4">
        <f>Raw_Data!B222</f>
        <v>45719</v>
      </c>
      <c r="C222" s="3" t="str">
        <f>Raw_Data!C222</f>
        <v>Instagram</v>
      </c>
      <c r="D222" s="3" t="str">
        <f>Raw_Data!D222</f>
        <v>East</v>
      </c>
      <c r="E222" s="5">
        <f>Raw_Data!E222</f>
        <v>3320.19</v>
      </c>
      <c r="F222" s="5">
        <f>Raw_Data!F222</f>
        <v>3524.25</v>
      </c>
      <c r="G222" s="3">
        <f>Raw_Data!G222</f>
        <v>180485</v>
      </c>
      <c r="H222" s="3">
        <f>Raw_Data!H222</f>
        <v>1392</v>
      </c>
      <c r="I222" s="3">
        <f>Raw_Data!I222</f>
        <v>278</v>
      </c>
      <c r="J222" s="5">
        <f>Raw_Data!J222</f>
        <v>13678.9</v>
      </c>
      <c r="K222" s="6">
        <f t="shared" si="21"/>
        <v>0.00771255228966396</v>
      </c>
      <c r="L222" s="5">
        <f t="shared" si="22"/>
        <v>2.53178879310345</v>
      </c>
      <c r="M222" s="5">
        <f t="shared" si="23"/>
        <v>12.6771582733813</v>
      </c>
      <c r="N222" s="7">
        <f t="shared" si="24"/>
        <v>3.88136482939633</v>
      </c>
      <c r="O222" s="5">
        <f t="shared" si="25"/>
        <v>10154.65</v>
      </c>
      <c r="P222" s="8">
        <f t="shared" si="26"/>
        <v>74.2358669191236</v>
      </c>
      <c r="Q222" s="3" t="str">
        <f t="shared" si="27"/>
        <v>2025-03</v>
      </c>
    </row>
    <row r="223" customHeight="1" spans="1:17">
      <c r="A223" s="3" t="str">
        <f>Raw_Data!A223</f>
        <v>C0466</v>
      </c>
      <c r="B223" s="4">
        <f>Raw_Data!B223</f>
        <v>45719</v>
      </c>
      <c r="C223" s="3" t="str">
        <f>Raw_Data!C223</f>
        <v>Instagram</v>
      </c>
      <c r="D223" s="3" t="str">
        <f>Raw_Data!D223</f>
        <v>South</v>
      </c>
      <c r="E223" s="5">
        <f>Raw_Data!E223</f>
        <v>8802.18</v>
      </c>
      <c r="F223" s="5">
        <f>Raw_Data!F223</f>
        <v>8179.57</v>
      </c>
      <c r="G223" s="3">
        <f>Raw_Data!G223</f>
        <v>109943</v>
      </c>
      <c r="H223" s="3">
        <f>Raw_Data!H223</f>
        <v>4843</v>
      </c>
      <c r="I223" s="3">
        <f>Raw_Data!I223</f>
        <v>579</v>
      </c>
      <c r="J223" s="5">
        <f>Raw_Data!J223</f>
        <v>15900.17</v>
      </c>
      <c r="K223" s="6">
        <f t="shared" si="21"/>
        <v>0.0440500986875017</v>
      </c>
      <c r="L223" s="5">
        <f t="shared" si="22"/>
        <v>1.68894693371877</v>
      </c>
      <c r="M223" s="5">
        <f t="shared" si="23"/>
        <v>14.1270639032815</v>
      </c>
      <c r="N223" s="7">
        <f t="shared" si="24"/>
        <v>1.94388824840426</v>
      </c>
      <c r="O223" s="5">
        <f t="shared" si="25"/>
        <v>7720.6</v>
      </c>
      <c r="P223" s="8">
        <f t="shared" si="26"/>
        <v>48.5567135445722</v>
      </c>
      <c r="Q223" s="3" t="str">
        <f t="shared" si="27"/>
        <v>2025-03</v>
      </c>
    </row>
    <row r="224" customHeight="1" spans="1:17">
      <c r="A224" s="3" t="str">
        <f>Raw_Data!A224</f>
        <v>C0118</v>
      </c>
      <c r="B224" s="4">
        <f>Raw_Data!B224</f>
        <v>45719</v>
      </c>
      <c r="C224" s="3" t="str">
        <f>Raw_Data!C224</f>
        <v>Google Ads</v>
      </c>
      <c r="D224" s="3" t="str">
        <f>Raw_Data!D224</f>
        <v>North</v>
      </c>
      <c r="E224" s="5">
        <f>Raw_Data!E224</f>
        <v>8995.43</v>
      </c>
      <c r="F224" s="5">
        <f>Raw_Data!F224</f>
        <v>8973.91</v>
      </c>
      <c r="G224" s="3">
        <f>Raw_Data!G224</f>
        <v>65860</v>
      </c>
      <c r="H224" s="3">
        <f>Raw_Data!H224</f>
        <v>1196</v>
      </c>
      <c r="I224" s="3">
        <f>Raw_Data!I224</f>
        <v>210</v>
      </c>
      <c r="J224" s="5">
        <f>Raw_Data!J224</f>
        <v>5226.49</v>
      </c>
      <c r="K224" s="6">
        <f t="shared" si="21"/>
        <v>0.0181597327664743</v>
      </c>
      <c r="L224" s="5">
        <f t="shared" si="22"/>
        <v>7.50326923076923</v>
      </c>
      <c r="M224" s="5">
        <f t="shared" si="23"/>
        <v>42.7329047619048</v>
      </c>
      <c r="N224" s="7">
        <f t="shared" si="24"/>
        <v>0.582409451398554</v>
      </c>
      <c r="O224" s="5">
        <f t="shared" si="25"/>
        <v>-3747.42</v>
      </c>
      <c r="P224" s="8">
        <f t="shared" si="26"/>
        <v>-71.7005102851053</v>
      </c>
      <c r="Q224" s="3" t="str">
        <f t="shared" si="27"/>
        <v>2025-03</v>
      </c>
    </row>
    <row r="225" customHeight="1" spans="1:17">
      <c r="A225" s="3" t="str">
        <f>Raw_Data!A225</f>
        <v>C0100</v>
      </c>
      <c r="B225" s="4">
        <f>Raw_Data!B225</f>
        <v>45720</v>
      </c>
      <c r="C225" s="3" t="str">
        <f>Raw_Data!C225</f>
        <v>Google Ads</v>
      </c>
      <c r="D225" s="3" t="str">
        <f>Raw_Data!D225</f>
        <v>East</v>
      </c>
      <c r="E225" s="5">
        <f>Raw_Data!E225</f>
        <v>4510.75</v>
      </c>
      <c r="F225" s="5">
        <f>Raw_Data!F225</f>
        <v>4451.51</v>
      </c>
      <c r="G225" s="3">
        <f>Raw_Data!G225</f>
        <v>51577</v>
      </c>
      <c r="H225" s="3">
        <f>Raw_Data!H225</f>
        <v>1434</v>
      </c>
      <c r="I225" s="3">
        <f>Raw_Data!I225</f>
        <v>154</v>
      </c>
      <c r="J225" s="5">
        <f>Raw_Data!J225</f>
        <v>3474.31</v>
      </c>
      <c r="K225" s="6">
        <f t="shared" si="21"/>
        <v>0.0278030905248463</v>
      </c>
      <c r="L225" s="5">
        <f t="shared" si="22"/>
        <v>3.10426080892608</v>
      </c>
      <c r="M225" s="5">
        <f t="shared" si="23"/>
        <v>28.9059090909091</v>
      </c>
      <c r="N225" s="7">
        <f t="shared" si="24"/>
        <v>0.780478983535924</v>
      </c>
      <c r="O225" s="5">
        <f t="shared" si="25"/>
        <v>-977.2</v>
      </c>
      <c r="P225" s="8">
        <f t="shared" si="26"/>
        <v>-28.1264481292688</v>
      </c>
      <c r="Q225" s="3" t="str">
        <f t="shared" si="27"/>
        <v>2025-03</v>
      </c>
    </row>
    <row r="226" customHeight="1" spans="1:17">
      <c r="A226" s="3" t="str">
        <f>Raw_Data!A226</f>
        <v>C0167</v>
      </c>
      <c r="B226" s="4">
        <f>Raw_Data!B226</f>
        <v>45720</v>
      </c>
      <c r="C226" s="3" t="str">
        <f>Raw_Data!C226</f>
        <v>LinkedIn</v>
      </c>
      <c r="D226" s="3" t="str">
        <f>Raw_Data!D226</f>
        <v>North</v>
      </c>
      <c r="E226" s="5">
        <f>Raw_Data!E226</f>
        <v>9820.76</v>
      </c>
      <c r="F226" s="5">
        <f>Raw_Data!F226</f>
        <v>10762.21</v>
      </c>
      <c r="G226" s="3">
        <f>Raw_Data!G226</f>
        <v>130274</v>
      </c>
      <c r="H226" s="3">
        <f>Raw_Data!H226</f>
        <v>3999</v>
      </c>
      <c r="I226" s="3">
        <f>Raw_Data!I226</f>
        <v>83</v>
      </c>
      <c r="J226" s="5">
        <f>Raw_Data!J226</f>
        <v>3398.42</v>
      </c>
      <c r="K226" s="6">
        <f t="shared" si="21"/>
        <v>0.0306968389701706</v>
      </c>
      <c r="L226" s="5">
        <f t="shared" si="22"/>
        <v>2.69122530632658</v>
      </c>
      <c r="M226" s="5">
        <f t="shared" si="23"/>
        <v>129.665180722892</v>
      </c>
      <c r="N226" s="7">
        <f t="shared" si="24"/>
        <v>0.315773433151741</v>
      </c>
      <c r="O226" s="5">
        <f t="shared" si="25"/>
        <v>-7363.79</v>
      </c>
      <c r="P226" s="8">
        <f t="shared" si="26"/>
        <v>-216.682752573255</v>
      </c>
      <c r="Q226" s="3" t="str">
        <f t="shared" si="27"/>
        <v>2025-03</v>
      </c>
    </row>
    <row r="227" customHeight="1" spans="1:17">
      <c r="A227" s="3" t="str">
        <f>Raw_Data!A227</f>
        <v>C0027</v>
      </c>
      <c r="B227" s="4">
        <f>Raw_Data!B227</f>
        <v>45721</v>
      </c>
      <c r="C227" s="3" t="str">
        <f>Raw_Data!C227</f>
        <v>LinkedIn</v>
      </c>
      <c r="D227" s="3" t="str">
        <f>Raw_Data!D227</f>
        <v>West</v>
      </c>
      <c r="E227" s="5">
        <f>Raw_Data!E227</f>
        <v>5509.26</v>
      </c>
      <c r="F227" s="5">
        <f>Raw_Data!F227</f>
        <v>4598.91</v>
      </c>
      <c r="G227" s="3">
        <f>Raw_Data!G227</f>
        <v>145792</v>
      </c>
      <c r="H227" s="3">
        <f>Raw_Data!H227</f>
        <v>2973</v>
      </c>
      <c r="I227" s="3">
        <f>Raw_Data!I227</f>
        <v>495</v>
      </c>
      <c r="J227" s="5">
        <f>Raw_Data!J227</f>
        <v>22717.09</v>
      </c>
      <c r="K227" s="6">
        <f t="shared" si="21"/>
        <v>0.0203920654082529</v>
      </c>
      <c r="L227" s="5">
        <f t="shared" si="22"/>
        <v>1.54689202825429</v>
      </c>
      <c r="M227" s="5">
        <f t="shared" si="23"/>
        <v>9.29072727272727</v>
      </c>
      <c r="N227" s="7">
        <f t="shared" si="24"/>
        <v>4.93966831270888</v>
      </c>
      <c r="O227" s="5">
        <f t="shared" si="25"/>
        <v>18118.18</v>
      </c>
      <c r="P227" s="8">
        <f t="shared" si="26"/>
        <v>79.7557257553674</v>
      </c>
      <c r="Q227" s="3" t="str">
        <f t="shared" si="27"/>
        <v>2025-03</v>
      </c>
    </row>
    <row r="228" customHeight="1" spans="1:17">
      <c r="A228" s="3" t="str">
        <f>Raw_Data!A228</f>
        <v>C0260</v>
      </c>
      <c r="B228" s="4">
        <f>Raw_Data!B228</f>
        <v>45721</v>
      </c>
      <c r="C228" s="3" t="str">
        <f>Raw_Data!C228</f>
        <v>Facebook</v>
      </c>
      <c r="D228" s="3" t="str">
        <f>Raw_Data!D228</f>
        <v>West</v>
      </c>
      <c r="E228" s="5">
        <f>Raw_Data!E228</f>
        <v>8055.77</v>
      </c>
      <c r="F228" s="5">
        <f>Raw_Data!F228</f>
        <v>8184.75</v>
      </c>
      <c r="G228" s="3">
        <f>Raw_Data!G228</f>
        <v>194986</v>
      </c>
      <c r="H228" s="3">
        <f>Raw_Data!H228</f>
        <v>2202</v>
      </c>
      <c r="I228" s="3">
        <f>Raw_Data!I228</f>
        <v>364</v>
      </c>
      <c r="J228" s="5">
        <f>Raw_Data!J228</f>
        <v>14281.33</v>
      </c>
      <c r="K228" s="6">
        <f t="shared" si="21"/>
        <v>0.0112931184803011</v>
      </c>
      <c r="L228" s="5">
        <f t="shared" si="22"/>
        <v>3.71696185286104</v>
      </c>
      <c r="M228" s="5">
        <f t="shared" si="23"/>
        <v>22.4855769230769</v>
      </c>
      <c r="N228" s="7">
        <f t="shared" si="24"/>
        <v>1.74487064357494</v>
      </c>
      <c r="O228" s="5">
        <f t="shared" si="25"/>
        <v>6096.58</v>
      </c>
      <c r="P228" s="8">
        <f t="shared" si="26"/>
        <v>42.6891613036041</v>
      </c>
      <c r="Q228" s="3" t="str">
        <f t="shared" si="27"/>
        <v>2025-03</v>
      </c>
    </row>
    <row r="229" customHeight="1" spans="1:17">
      <c r="A229" s="3" t="str">
        <f>Raw_Data!A229</f>
        <v>C0039</v>
      </c>
      <c r="B229" s="4">
        <f>Raw_Data!B229</f>
        <v>45722</v>
      </c>
      <c r="C229" s="3" t="str">
        <f>Raw_Data!C229</f>
        <v>Facebook</v>
      </c>
      <c r="D229" s="3" t="str">
        <f>Raw_Data!D229</f>
        <v>North</v>
      </c>
      <c r="E229" s="5">
        <f>Raw_Data!E229</f>
        <v>7433.83</v>
      </c>
      <c r="F229" s="5">
        <f>Raw_Data!F229</f>
        <v>7890.55</v>
      </c>
      <c r="G229" s="3">
        <f>Raw_Data!G229</f>
        <v>86560</v>
      </c>
      <c r="H229" s="3">
        <f>Raw_Data!H229</f>
        <v>3682</v>
      </c>
      <c r="I229" s="3">
        <f>Raw_Data!I229</f>
        <v>609</v>
      </c>
      <c r="J229" s="5">
        <f>Raw_Data!J229</f>
        <v>26863.09</v>
      </c>
      <c r="K229" s="6">
        <f t="shared" si="21"/>
        <v>0.0425369685767098</v>
      </c>
      <c r="L229" s="5">
        <f t="shared" si="22"/>
        <v>2.14300651819663</v>
      </c>
      <c r="M229" s="5">
        <f t="shared" si="23"/>
        <v>12.9565681444992</v>
      </c>
      <c r="N229" s="7">
        <f t="shared" si="24"/>
        <v>3.40446356717846</v>
      </c>
      <c r="O229" s="5">
        <f t="shared" si="25"/>
        <v>18972.54</v>
      </c>
      <c r="P229" s="8">
        <f t="shared" si="26"/>
        <v>70.6267968428055</v>
      </c>
      <c r="Q229" s="3" t="str">
        <f t="shared" si="27"/>
        <v>2025-03</v>
      </c>
    </row>
    <row r="230" customHeight="1" spans="1:17">
      <c r="A230" s="3" t="str">
        <f>Raw_Data!A230</f>
        <v>C0400</v>
      </c>
      <c r="B230" s="4">
        <f>Raw_Data!B230</f>
        <v>45722</v>
      </c>
      <c r="C230" s="3" t="str">
        <f>Raw_Data!C230</f>
        <v>Google Ads</v>
      </c>
      <c r="D230" s="3" t="str">
        <f>Raw_Data!D230</f>
        <v>North</v>
      </c>
      <c r="E230" s="5">
        <f>Raw_Data!E230</f>
        <v>9782.14</v>
      </c>
      <c r="F230" s="5">
        <f>Raw_Data!F230</f>
        <v>10025.67</v>
      </c>
      <c r="G230" s="3">
        <f>Raw_Data!G230</f>
        <v>149220</v>
      </c>
      <c r="H230" s="3">
        <f>Raw_Data!H230</f>
        <v>5688</v>
      </c>
      <c r="I230" s="3">
        <f>Raw_Data!I230</f>
        <v>531</v>
      </c>
      <c r="J230" s="5">
        <f>Raw_Data!J230</f>
        <v>12692.27</v>
      </c>
      <c r="K230" s="6">
        <f t="shared" si="21"/>
        <v>0.0381182147165259</v>
      </c>
      <c r="L230" s="5">
        <f t="shared" si="22"/>
        <v>1.76260021097046</v>
      </c>
      <c r="M230" s="5">
        <f t="shared" si="23"/>
        <v>18.8807344632768</v>
      </c>
      <c r="N230" s="7">
        <f t="shared" si="24"/>
        <v>1.26597723643407</v>
      </c>
      <c r="O230" s="5">
        <f t="shared" si="25"/>
        <v>2666.6</v>
      </c>
      <c r="P230" s="8">
        <f t="shared" si="26"/>
        <v>21.0096381498345</v>
      </c>
      <c r="Q230" s="3" t="str">
        <f t="shared" si="27"/>
        <v>2025-03</v>
      </c>
    </row>
    <row r="231" customHeight="1" spans="1:17">
      <c r="A231" s="3" t="str">
        <f>Raw_Data!A231</f>
        <v>C0071</v>
      </c>
      <c r="B231" s="4">
        <f>Raw_Data!B231</f>
        <v>45724</v>
      </c>
      <c r="C231" s="3" t="str">
        <f>Raw_Data!C231</f>
        <v>Instagram</v>
      </c>
      <c r="D231" s="3" t="str">
        <f>Raw_Data!D231</f>
        <v>West</v>
      </c>
      <c r="E231" s="5">
        <f>Raw_Data!E231</f>
        <v>6841.14</v>
      </c>
      <c r="F231" s="5">
        <f>Raw_Data!F231</f>
        <v>6892.92</v>
      </c>
      <c r="G231" s="3">
        <f>Raw_Data!G231</f>
        <v>138384</v>
      </c>
      <c r="H231" s="3">
        <f>Raw_Data!H231</f>
        <v>3042</v>
      </c>
      <c r="I231" s="3">
        <f>Raw_Data!I231</f>
        <v>323</v>
      </c>
      <c r="J231" s="5">
        <f>Raw_Data!J231</f>
        <v>12777.5</v>
      </c>
      <c r="K231" s="6">
        <f t="shared" si="21"/>
        <v>0.0219823100936524</v>
      </c>
      <c r="L231" s="5">
        <f t="shared" si="22"/>
        <v>2.26591715976331</v>
      </c>
      <c r="M231" s="5">
        <f t="shared" si="23"/>
        <v>21.3403095975232</v>
      </c>
      <c r="N231" s="7">
        <f t="shared" si="24"/>
        <v>1.85371366561631</v>
      </c>
      <c r="O231" s="5">
        <f t="shared" si="25"/>
        <v>5884.58</v>
      </c>
      <c r="P231" s="8">
        <f t="shared" si="26"/>
        <v>46.0542359616513</v>
      </c>
      <c r="Q231" s="3" t="str">
        <f t="shared" si="27"/>
        <v>2025-03</v>
      </c>
    </row>
    <row r="232" customHeight="1" spans="1:17">
      <c r="A232" s="3" t="str">
        <f>Raw_Data!A232</f>
        <v>C0443</v>
      </c>
      <c r="B232" s="4">
        <f>Raw_Data!B232</f>
        <v>45724</v>
      </c>
      <c r="C232" s="3" t="str">
        <f>Raw_Data!C232</f>
        <v>Twitter</v>
      </c>
      <c r="D232" s="3" t="str">
        <f>Raw_Data!D232</f>
        <v>East</v>
      </c>
      <c r="E232" s="5">
        <f>Raw_Data!E232</f>
        <v>4274.83</v>
      </c>
      <c r="F232" s="5">
        <f>Raw_Data!F232</f>
        <v>4432.61</v>
      </c>
      <c r="G232" s="3">
        <f>Raw_Data!G232</f>
        <v>108943</v>
      </c>
      <c r="H232" s="3">
        <f>Raw_Data!H232</f>
        <v>3924</v>
      </c>
      <c r="I232" s="3">
        <f>Raw_Data!I232</f>
        <v>687</v>
      </c>
      <c r="J232" s="5">
        <f>Raw_Data!J232</f>
        <v>27315.97</v>
      </c>
      <c r="K232" s="6">
        <f t="shared" si="21"/>
        <v>0.0360188355378501</v>
      </c>
      <c r="L232" s="5">
        <f t="shared" si="22"/>
        <v>1.12961518858308</v>
      </c>
      <c r="M232" s="5">
        <f t="shared" si="23"/>
        <v>6.45212518195051</v>
      </c>
      <c r="N232" s="7">
        <f t="shared" si="24"/>
        <v>6.16250245340781</v>
      </c>
      <c r="O232" s="5">
        <f t="shared" si="25"/>
        <v>22883.36</v>
      </c>
      <c r="P232" s="8">
        <f t="shared" si="26"/>
        <v>83.7728259329616</v>
      </c>
      <c r="Q232" s="3" t="str">
        <f t="shared" si="27"/>
        <v>2025-03</v>
      </c>
    </row>
    <row r="233" customHeight="1" spans="1:17">
      <c r="A233" s="3" t="str">
        <f>Raw_Data!A233</f>
        <v>C0264</v>
      </c>
      <c r="B233" s="4">
        <f>Raw_Data!B233</f>
        <v>45724</v>
      </c>
      <c r="C233" s="3" t="str">
        <f>Raw_Data!C233</f>
        <v>Facebook</v>
      </c>
      <c r="D233" s="3" t="str">
        <f>Raw_Data!D233</f>
        <v>East</v>
      </c>
      <c r="E233" s="5">
        <f>Raw_Data!E233</f>
        <v>9630.98</v>
      </c>
      <c r="F233" s="5">
        <f>Raw_Data!F233</f>
        <v>8147.86</v>
      </c>
      <c r="G233" s="3">
        <f>Raw_Data!G233</f>
        <v>77672</v>
      </c>
      <c r="H233" s="3">
        <f>Raw_Data!H233</f>
        <v>2185</v>
      </c>
      <c r="I233" s="3">
        <f>Raw_Data!I233</f>
        <v>376</v>
      </c>
      <c r="J233" s="5">
        <f>Raw_Data!J233</f>
        <v>14132.67</v>
      </c>
      <c r="K233" s="6">
        <f t="shared" si="21"/>
        <v>0.0281311154598826</v>
      </c>
      <c r="L233" s="5">
        <f t="shared" si="22"/>
        <v>3.72899771167048</v>
      </c>
      <c r="M233" s="5">
        <f t="shared" si="23"/>
        <v>21.6698404255319</v>
      </c>
      <c r="N233" s="7">
        <f t="shared" si="24"/>
        <v>1.73452538457951</v>
      </c>
      <c r="O233" s="5">
        <f t="shared" si="25"/>
        <v>5984.81</v>
      </c>
      <c r="P233" s="8">
        <f t="shared" si="26"/>
        <v>42.3473413021036</v>
      </c>
      <c r="Q233" s="3" t="str">
        <f t="shared" si="27"/>
        <v>2025-03</v>
      </c>
    </row>
    <row r="234" customHeight="1" spans="1:17">
      <c r="A234" s="3" t="str">
        <f>Raw_Data!A234</f>
        <v>C0017</v>
      </c>
      <c r="B234" s="4">
        <f>Raw_Data!B234</f>
        <v>45725</v>
      </c>
      <c r="C234" s="3" t="str">
        <f>Raw_Data!C234</f>
        <v>Facebook</v>
      </c>
      <c r="D234" s="3" t="str">
        <f>Raw_Data!D234</f>
        <v>West</v>
      </c>
      <c r="E234" s="5">
        <f>Raw_Data!E234</f>
        <v>6826.97</v>
      </c>
      <c r="F234" s="5">
        <f>Raw_Data!F234</f>
        <v>5840.17</v>
      </c>
      <c r="G234" s="3">
        <f>Raw_Data!G234</f>
        <v>186370</v>
      </c>
      <c r="H234" s="3">
        <f>Raw_Data!H234</f>
        <v>9073</v>
      </c>
      <c r="I234" s="3">
        <f>Raw_Data!I234</f>
        <v>1366</v>
      </c>
      <c r="J234" s="5">
        <f>Raw_Data!J234</f>
        <v>67053.58</v>
      </c>
      <c r="K234" s="6">
        <f t="shared" si="21"/>
        <v>0.048682727906852</v>
      </c>
      <c r="L234" s="5">
        <f t="shared" si="22"/>
        <v>0.643686762922958</v>
      </c>
      <c r="M234" s="5">
        <f t="shared" si="23"/>
        <v>4.27538067349927</v>
      </c>
      <c r="N234" s="7">
        <f t="shared" si="24"/>
        <v>11.4814431771678</v>
      </c>
      <c r="O234" s="5">
        <f t="shared" si="25"/>
        <v>61213.41</v>
      </c>
      <c r="P234" s="8">
        <f t="shared" si="26"/>
        <v>91.2902935234778</v>
      </c>
      <c r="Q234" s="3" t="str">
        <f t="shared" si="27"/>
        <v>2025-03</v>
      </c>
    </row>
    <row r="235" customHeight="1" spans="1:17">
      <c r="A235" s="3" t="str">
        <f>Raw_Data!A235</f>
        <v>C0188</v>
      </c>
      <c r="B235" s="4">
        <f>Raw_Data!B235</f>
        <v>45725</v>
      </c>
      <c r="C235" s="3" t="str">
        <f>Raw_Data!C235</f>
        <v>Twitter</v>
      </c>
      <c r="D235" s="3" t="str">
        <f>Raw_Data!D235</f>
        <v>South</v>
      </c>
      <c r="E235" s="5">
        <f>Raw_Data!E235</f>
        <v>4490.75</v>
      </c>
      <c r="F235" s="5">
        <f>Raw_Data!F235</f>
        <v>3776.32</v>
      </c>
      <c r="G235" s="3">
        <f>Raw_Data!G235</f>
        <v>158774</v>
      </c>
      <c r="H235" s="3">
        <f>Raw_Data!H235</f>
        <v>5263</v>
      </c>
      <c r="I235" s="3">
        <f>Raw_Data!I235</f>
        <v>268</v>
      </c>
      <c r="J235" s="5">
        <f>Raw_Data!J235</f>
        <v>5476.94</v>
      </c>
      <c r="K235" s="6">
        <f t="shared" si="21"/>
        <v>0.0331477445929434</v>
      </c>
      <c r="L235" s="5">
        <f t="shared" si="22"/>
        <v>0.71752232566977</v>
      </c>
      <c r="M235" s="5">
        <f t="shared" si="23"/>
        <v>14.0907462686567</v>
      </c>
      <c r="N235" s="7">
        <f t="shared" si="24"/>
        <v>1.45033789509364</v>
      </c>
      <c r="O235" s="5">
        <f t="shared" si="25"/>
        <v>1700.62</v>
      </c>
      <c r="P235" s="8">
        <f t="shared" si="26"/>
        <v>31.0505501247047</v>
      </c>
      <c r="Q235" s="3" t="str">
        <f t="shared" si="27"/>
        <v>2025-03</v>
      </c>
    </row>
    <row r="236" customHeight="1" spans="1:17">
      <c r="A236" s="3" t="str">
        <f>Raw_Data!A236</f>
        <v>C0079</v>
      </c>
      <c r="B236" s="4">
        <f>Raw_Data!B236</f>
        <v>45725</v>
      </c>
      <c r="C236" s="3" t="str">
        <f>Raw_Data!C236</f>
        <v>Google Ads</v>
      </c>
      <c r="D236" s="3" t="str">
        <f>Raw_Data!D236</f>
        <v>East</v>
      </c>
      <c r="E236" s="5">
        <f>Raw_Data!E236</f>
        <v>4366.7</v>
      </c>
      <c r="F236" s="5">
        <f>Raw_Data!F236</f>
        <v>4439.78</v>
      </c>
      <c r="G236" s="3">
        <f>Raw_Data!G236</f>
        <v>110834</v>
      </c>
      <c r="H236" s="3">
        <f>Raw_Data!H236</f>
        <v>4636</v>
      </c>
      <c r="I236" s="3">
        <f>Raw_Data!I236</f>
        <v>797</v>
      </c>
      <c r="J236" s="5">
        <f>Raw_Data!J236</f>
        <v>22653.27</v>
      </c>
      <c r="K236" s="6">
        <f t="shared" si="21"/>
        <v>0.0418283198296552</v>
      </c>
      <c r="L236" s="5">
        <f t="shared" si="22"/>
        <v>0.95767471958585</v>
      </c>
      <c r="M236" s="5">
        <f t="shared" si="23"/>
        <v>5.5706148055207</v>
      </c>
      <c r="N236" s="7">
        <f t="shared" si="24"/>
        <v>5.10234065651902</v>
      </c>
      <c r="O236" s="5">
        <f t="shared" si="25"/>
        <v>18213.49</v>
      </c>
      <c r="P236" s="8">
        <f t="shared" si="26"/>
        <v>80.4011517983938</v>
      </c>
      <c r="Q236" s="3" t="str">
        <f t="shared" si="27"/>
        <v>2025-03</v>
      </c>
    </row>
    <row r="237" customHeight="1" spans="1:17">
      <c r="A237" s="3" t="str">
        <f>Raw_Data!A237</f>
        <v>C0333</v>
      </c>
      <c r="B237" s="4">
        <f>Raw_Data!B237</f>
        <v>45725</v>
      </c>
      <c r="C237" s="3" t="str">
        <f>Raw_Data!C237</f>
        <v>Facebook</v>
      </c>
      <c r="D237" s="3" t="str">
        <f>Raw_Data!D237</f>
        <v>South</v>
      </c>
      <c r="E237" s="5">
        <f>Raw_Data!E237</f>
        <v>9421.2</v>
      </c>
      <c r="F237" s="5">
        <f>Raw_Data!F237</f>
        <v>7923.66</v>
      </c>
      <c r="G237" s="3">
        <f>Raw_Data!G237</f>
        <v>111608</v>
      </c>
      <c r="H237" s="3">
        <f>Raw_Data!H237</f>
        <v>4858</v>
      </c>
      <c r="I237" s="3">
        <f>Raw_Data!I237</f>
        <v>347</v>
      </c>
      <c r="J237" s="5">
        <f>Raw_Data!J237</f>
        <v>16831.97</v>
      </c>
      <c r="K237" s="6">
        <f t="shared" si="21"/>
        <v>0.0435273457099849</v>
      </c>
      <c r="L237" s="5">
        <f t="shared" si="22"/>
        <v>1.63105393165912</v>
      </c>
      <c r="M237" s="5">
        <f t="shared" si="23"/>
        <v>22.8347550432277</v>
      </c>
      <c r="N237" s="7">
        <f t="shared" si="24"/>
        <v>2.12426706850117</v>
      </c>
      <c r="O237" s="5">
        <f t="shared" si="25"/>
        <v>8908.31</v>
      </c>
      <c r="P237" s="8">
        <f t="shared" si="26"/>
        <v>52.924939861466</v>
      </c>
      <c r="Q237" s="3" t="str">
        <f t="shared" si="27"/>
        <v>2025-03</v>
      </c>
    </row>
    <row r="238" customHeight="1" spans="1:17">
      <c r="A238" s="3" t="str">
        <f>Raw_Data!A238</f>
        <v>C0350</v>
      </c>
      <c r="B238" s="4">
        <f>Raw_Data!B238</f>
        <v>45726</v>
      </c>
      <c r="C238" s="3" t="str">
        <f>Raw_Data!C238</f>
        <v>Instagram</v>
      </c>
      <c r="D238" s="3" t="str">
        <f>Raw_Data!D238</f>
        <v>West</v>
      </c>
      <c r="E238" s="5">
        <f>Raw_Data!E238</f>
        <v>3170.81</v>
      </c>
      <c r="F238" s="5">
        <f>Raw_Data!F238</f>
        <v>3364.32</v>
      </c>
      <c r="G238" s="3">
        <f>Raw_Data!G238</f>
        <v>132053</v>
      </c>
      <c r="H238" s="3">
        <f>Raw_Data!H238</f>
        <v>4867</v>
      </c>
      <c r="I238" s="3">
        <f>Raw_Data!I238</f>
        <v>162</v>
      </c>
      <c r="J238" s="5">
        <f>Raw_Data!J238</f>
        <v>3343.37</v>
      </c>
      <c r="K238" s="6">
        <f t="shared" si="21"/>
        <v>0.036856413712676</v>
      </c>
      <c r="L238" s="5">
        <f t="shared" si="22"/>
        <v>0.691251284158619</v>
      </c>
      <c r="M238" s="5">
        <f t="shared" si="23"/>
        <v>20.7674074074074</v>
      </c>
      <c r="N238" s="7">
        <f t="shared" si="24"/>
        <v>0.993772887240215</v>
      </c>
      <c r="O238" s="5">
        <f t="shared" si="25"/>
        <v>-20.9500000000003</v>
      </c>
      <c r="P238" s="8">
        <f t="shared" si="26"/>
        <v>-0.626613267451711</v>
      </c>
      <c r="Q238" s="3" t="str">
        <f t="shared" si="27"/>
        <v>2025-03</v>
      </c>
    </row>
    <row r="239" customHeight="1" spans="1:17">
      <c r="A239" s="3" t="str">
        <f>Raw_Data!A239</f>
        <v>C0199</v>
      </c>
      <c r="B239" s="4">
        <f>Raw_Data!B239</f>
        <v>45726</v>
      </c>
      <c r="C239" s="3" t="str">
        <f>Raw_Data!C239</f>
        <v>Twitter</v>
      </c>
      <c r="D239" s="3" t="str">
        <f>Raw_Data!D239</f>
        <v>North</v>
      </c>
      <c r="E239" s="5">
        <f>Raw_Data!E239</f>
        <v>9277.52</v>
      </c>
      <c r="F239" s="5">
        <f>Raw_Data!F239</f>
        <v>8741.17</v>
      </c>
      <c r="G239" s="3">
        <f>Raw_Data!G239</f>
        <v>141253</v>
      </c>
      <c r="H239" s="3">
        <f>Raw_Data!H239</f>
        <v>2934</v>
      </c>
      <c r="I239" s="3">
        <f>Raw_Data!I239</f>
        <v>357</v>
      </c>
      <c r="J239" s="5">
        <f>Raw_Data!J239</f>
        <v>14289.54</v>
      </c>
      <c r="K239" s="6">
        <f t="shared" si="21"/>
        <v>0.0207712402568441</v>
      </c>
      <c r="L239" s="5">
        <f t="shared" si="22"/>
        <v>2.97926721199727</v>
      </c>
      <c r="M239" s="5">
        <f t="shared" si="23"/>
        <v>24.4850700280112</v>
      </c>
      <c r="N239" s="7">
        <f t="shared" si="24"/>
        <v>1.63473997188019</v>
      </c>
      <c r="O239" s="5">
        <f t="shared" si="25"/>
        <v>5548.37</v>
      </c>
      <c r="P239" s="8">
        <f t="shared" si="26"/>
        <v>38.8281918102332</v>
      </c>
      <c r="Q239" s="3" t="str">
        <f t="shared" si="27"/>
        <v>2025-03</v>
      </c>
    </row>
    <row r="240" customHeight="1" spans="1:17">
      <c r="A240" s="3" t="str">
        <f>Raw_Data!A240</f>
        <v>C0365</v>
      </c>
      <c r="B240" s="4">
        <f>Raw_Data!B240</f>
        <v>45726</v>
      </c>
      <c r="C240" s="3" t="str">
        <f>Raw_Data!C240</f>
        <v>Twitter</v>
      </c>
      <c r="D240" s="3" t="str">
        <f>Raw_Data!D240</f>
        <v>West</v>
      </c>
      <c r="E240" s="5">
        <f>Raw_Data!E240</f>
        <v>7254.16</v>
      </c>
      <c r="F240" s="5">
        <f>Raw_Data!F240</f>
        <v>6919.07</v>
      </c>
      <c r="G240" s="3">
        <f>Raw_Data!G240</f>
        <v>152738</v>
      </c>
      <c r="H240" s="3">
        <f>Raw_Data!H240</f>
        <v>4601</v>
      </c>
      <c r="I240" s="3">
        <f>Raw_Data!I240</f>
        <v>244</v>
      </c>
      <c r="J240" s="5">
        <f>Raw_Data!J240</f>
        <v>6568.5</v>
      </c>
      <c r="K240" s="6">
        <f t="shared" si="21"/>
        <v>0.0301234794222787</v>
      </c>
      <c r="L240" s="5">
        <f t="shared" si="22"/>
        <v>1.5038187350576</v>
      </c>
      <c r="M240" s="5">
        <f t="shared" si="23"/>
        <v>28.3568442622951</v>
      </c>
      <c r="N240" s="7">
        <f t="shared" si="24"/>
        <v>0.949332786053617</v>
      </c>
      <c r="O240" s="5">
        <f t="shared" si="25"/>
        <v>-350.57</v>
      </c>
      <c r="P240" s="8">
        <f t="shared" si="26"/>
        <v>-5.3371393773312</v>
      </c>
      <c r="Q240" s="3" t="str">
        <f t="shared" si="27"/>
        <v>2025-03</v>
      </c>
    </row>
    <row r="241" customHeight="1" spans="1:17">
      <c r="A241" s="3" t="str">
        <f>Raw_Data!A241</f>
        <v>C0048</v>
      </c>
      <c r="B241" s="4">
        <f>Raw_Data!B241</f>
        <v>45726</v>
      </c>
      <c r="C241" s="3" t="str">
        <f>Raw_Data!C241</f>
        <v>Twitter</v>
      </c>
      <c r="D241" s="3" t="str">
        <f>Raw_Data!D241</f>
        <v>North</v>
      </c>
      <c r="E241" s="5">
        <f>Raw_Data!E241</f>
        <v>4762.48</v>
      </c>
      <c r="F241" s="5">
        <f>Raw_Data!F241</f>
        <v>4520.42</v>
      </c>
      <c r="G241" s="3">
        <f>Raw_Data!G241</f>
        <v>100064</v>
      </c>
      <c r="H241" s="3">
        <f>Raw_Data!H241</f>
        <v>1424</v>
      </c>
      <c r="I241" s="3">
        <f>Raw_Data!I241</f>
        <v>261</v>
      </c>
      <c r="J241" s="5">
        <f>Raw_Data!J241</f>
        <v>7575.88</v>
      </c>
      <c r="K241" s="6">
        <f t="shared" si="21"/>
        <v>0.0142308922289735</v>
      </c>
      <c r="L241" s="5">
        <f t="shared" si="22"/>
        <v>3.17445224719101</v>
      </c>
      <c r="M241" s="5">
        <f t="shared" si="23"/>
        <v>17.3196168582375</v>
      </c>
      <c r="N241" s="7">
        <f t="shared" si="24"/>
        <v>1.67592391857394</v>
      </c>
      <c r="O241" s="5">
        <f t="shared" si="25"/>
        <v>3055.46</v>
      </c>
      <c r="P241" s="8">
        <f t="shared" si="26"/>
        <v>40.3314202442488</v>
      </c>
      <c r="Q241" s="3" t="str">
        <f t="shared" si="27"/>
        <v>2025-03</v>
      </c>
    </row>
    <row r="242" customHeight="1" spans="1:17">
      <c r="A242" s="3" t="str">
        <f>Raw_Data!A242</f>
        <v>C0394</v>
      </c>
      <c r="B242" s="4">
        <f>Raw_Data!B242</f>
        <v>45727</v>
      </c>
      <c r="C242" s="3" t="str">
        <f>Raw_Data!C242</f>
        <v>LinkedIn</v>
      </c>
      <c r="D242" s="3" t="str">
        <f>Raw_Data!D242</f>
        <v>South</v>
      </c>
      <c r="E242" s="5">
        <f>Raw_Data!E242</f>
        <v>6788.87</v>
      </c>
      <c r="F242" s="5">
        <f>Raw_Data!F242</f>
        <v>7392.38</v>
      </c>
      <c r="G242" s="3">
        <f>Raw_Data!G242</f>
        <v>91252</v>
      </c>
      <c r="H242" s="3">
        <f>Raw_Data!H242</f>
        <v>1758</v>
      </c>
      <c r="I242" s="3">
        <f>Raw_Data!I242</f>
        <v>270</v>
      </c>
      <c r="J242" s="5">
        <f>Raw_Data!J242</f>
        <v>8169.16</v>
      </c>
      <c r="K242" s="6">
        <f t="shared" si="21"/>
        <v>0.0192653311708237</v>
      </c>
      <c r="L242" s="5">
        <f t="shared" si="22"/>
        <v>4.20499431171786</v>
      </c>
      <c r="M242" s="5">
        <f t="shared" si="23"/>
        <v>27.3791851851852</v>
      </c>
      <c r="N242" s="7">
        <f t="shared" si="24"/>
        <v>1.10507847269756</v>
      </c>
      <c r="O242" s="5">
        <f t="shared" si="25"/>
        <v>776.78</v>
      </c>
      <c r="P242" s="8">
        <f t="shared" si="26"/>
        <v>9.50868877583497</v>
      </c>
      <c r="Q242" s="3" t="str">
        <f t="shared" si="27"/>
        <v>2025-03</v>
      </c>
    </row>
    <row r="243" customHeight="1" spans="1:17">
      <c r="A243" s="3" t="str">
        <f>Raw_Data!A243</f>
        <v>C0219</v>
      </c>
      <c r="B243" s="4">
        <f>Raw_Data!B243</f>
        <v>45727</v>
      </c>
      <c r="C243" s="3" t="str">
        <f>Raw_Data!C243</f>
        <v>Instagram</v>
      </c>
      <c r="D243" s="3" t="str">
        <f>Raw_Data!D243</f>
        <v>East</v>
      </c>
      <c r="E243" s="5">
        <f>Raw_Data!E243</f>
        <v>6021.62</v>
      </c>
      <c r="F243" s="5">
        <f>Raw_Data!F243</f>
        <v>5047.77</v>
      </c>
      <c r="G243" s="3">
        <f>Raw_Data!G243</f>
        <v>133310</v>
      </c>
      <c r="H243" s="3">
        <f>Raw_Data!H243</f>
        <v>4783</v>
      </c>
      <c r="I243" s="3">
        <f>Raw_Data!I243</f>
        <v>857</v>
      </c>
      <c r="J243" s="5">
        <f>Raw_Data!J243</f>
        <v>24435.88</v>
      </c>
      <c r="K243" s="6">
        <f t="shared" si="21"/>
        <v>0.0358787787862876</v>
      </c>
      <c r="L243" s="5">
        <f t="shared" si="22"/>
        <v>1.0553564708342</v>
      </c>
      <c r="M243" s="5">
        <f t="shared" si="23"/>
        <v>5.89004667444574</v>
      </c>
      <c r="N243" s="7">
        <f t="shared" si="24"/>
        <v>4.840925794955</v>
      </c>
      <c r="O243" s="5">
        <f t="shared" si="25"/>
        <v>19388.11</v>
      </c>
      <c r="P243" s="8">
        <f t="shared" si="26"/>
        <v>79.3427942844702</v>
      </c>
      <c r="Q243" s="3" t="str">
        <f t="shared" si="27"/>
        <v>2025-03</v>
      </c>
    </row>
    <row r="244" customHeight="1" spans="1:17">
      <c r="A244" s="3" t="str">
        <f>Raw_Data!A244</f>
        <v>C0412</v>
      </c>
      <c r="B244" s="4">
        <f>Raw_Data!B244</f>
        <v>45727</v>
      </c>
      <c r="C244" s="3" t="str">
        <f>Raw_Data!C244</f>
        <v>Instagram</v>
      </c>
      <c r="D244" s="3" t="str">
        <f>Raw_Data!D244</f>
        <v>East</v>
      </c>
      <c r="E244" s="5">
        <f>Raw_Data!E244</f>
        <v>3217.94</v>
      </c>
      <c r="F244" s="5">
        <f>Raw_Data!F244</f>
        <v>3203.46</v>
      </c>
      <c r="G244" s="3">
        <f>Raw_Data!G244</f>
        <v>129278</v>
      </c>
      <c r="H244" s="3">
        <f>Raw_Data!H244</f>
        <v>5246</v>
      </c>
      <c r="I244" s="3">
        <f>Raw_Data!I244</f>
        <v>346</v>
      </c>
      <c r="J244" s="5">
        <f>Raw_Data!J244</f>
        <v>10745.3</v>
      </c>
      <c r="K244" s="6">
        <f t="shared" si="21"/>
        <v>0.0405792168814493</v>
      </c>
      <c r="L244" s="5">
        <f t="shared" si="22"/>
        <v>0.610648112847884</v>
      </c>
      <c r="M244" s="5">
        <f t="shared" si="23"/>
        <v>9.2585549132948</v>
      </c>
      <c r="N244" s="7">
        <f t="shared" si="24"/>
        <v>3.35427943536052</v>
      </c>
      <c r="O244" s="5">
        <f t="shared" si="25"/>
        <v>7541.84</v>
      </c>
      <c r="P244" s="8">
        <f t="shared" si="26"/>
        <v>70.1873377197472</v>
      </c>
      <c r="Q244" s="3" t="str">
        <f t="shared" si="27"/>
        <v>2025-03</v>
      </c>
    </row>
    <row r="245" customHeight="1" spans="1:17">
      <c r="A245" s="3" t="str">
        <f>Raw_Data!A245</f>
        <v>C0052</v>
      </c>
      <c r="B245" s="4">
        <f>Raw_Data!B245</f>
        <v>45727</v>
      </c>
      <c r="C245" s="3" t="str">
        <f>Raw_Data!C245</f>
        <v>Twitter</v>
      </c>
      <c r="D245" s="3" t="str">
        <f>Raw_Data!D245</f>
        <v>South</v>
      </c>
      <c r="E245" s="5">
        <f>Raw_Data!E245</f>
        <v>6426.17</v>
      </c>
      <c r="F245" s="5">
        <f>Raw_Data!F245</f>
        <v>7041.12</v>
      </c>
      <c r="G245" s="3">
        <f>Raw_Data!G245</f>
        <v>169372</v>
      </c>
      <c r="H245" s="3">
        <f>Raw_Data!H245</f>
        <v>2478</v>
      </c>
      <c r="I245" s="3">
        <f>Raw_Data!I245</f>
        <v>264</v>
      </c>
      <c r="J245" s="5">
        <f>Raw_Data!J245</f>
        <v>7197.08</v>
      </c>
      <c r="K245" s="6">
        <f t="shared" si="21"/>
        <v>0.0146305174408993</v>
      </c>
      <c r="L245" s="5">
        <f t="shared" si="22"/>
        <v>2.84145278450363</v>
      </c>
      <c r="M245" s="5">
        <f t="shared" si="23"/>
        <v>26.6709090909091</v>
      </c>
      <c r="N245" s="7">
        <f t="shared" si="24"/>
        <v>1.02214988524553</v>
      </c>
      <c r="O245" s="5">
        <f t="shared" si="25"/>
        <v>155.96</v>
      </c>
      <c r="P245" s="8">
        <f t="shared" si="26"/>
        <v>2.16698994592251</v>
      </c>
      <c r="Q245" s="3" t="str">
        <f t="shared" si="27"/>
        <v>2025-03</v>
      </c>
    </row>
    <row r="246" customHeight="1" spans="1:17">
      <c r="A246" s="3" t="str">
        <f>Raw_Data!A246</f>
        <v>C0492</v>
      </c>
      <c r="B246" s="4">
        <f>Raw_Data!B246</f>
        <v>45728</v>
      </c>
      <c r="C246" s="3" t="str">
        <f>Raw_Data!C246</f>
        <v>Instagram</v>
      </c>
      <c r="D246" s="3" t="str">
        <f>Raw_Data!D246</f>
        <v>East</v>
      </c>
      <c r="E246" s="5">
        <f>Raw_Data!E246</f>
        <v>5828.98</v>
      </c>
      <c r="F246" s="5">
        <f>Raw_Data!F246</f>
        <v>5235.06</v>
      </c>
      <c r="G246" s="3">
        <f>Raw_Data!G246</f>
        <v>165901</v>
      </c>
      <c r="H246" s="3">
        <f>Raw_Data!H246</f>
        <v>3604</v>
      </c>
      <c r="I246" s="3">
        <f>Raw_Data!I246</f>
        <v>431</v>
      </c>
      <c r="J246" s="5">
        <f>Raw_Data!J246</f>
        <v>17251.98</v>
      </c>
      <c r="K246" s="6">
        <f t="shared" si="21"/>
        <v>0.021723799133218</v>
      </c>
      <c r="L246" s="5">
        <f t="shared" si="22"/>
        <v>1.45256936736959</v>
      </c>
      <c r="M246" s="5">
        <f t="shared" si="23"/>
        <v>12.1463109048724</v>
      </c>
      <c r="N246" s="7">
        <f t="shared" si="24"/>
        <v>3.29546939290094</v>
      </c>
      <c r="O246" s="5">
        <f t="shared" si="25"/>
        <v>12016.92</v>
      </c>
      <c r="P246" s="8">
        <f t="shared" si="26"/>
        <v>69.6553091297347</v>
      </c>
      <c r="Q246" s="3" t="str">
        <f t="shared" si="27"/>
        <v>2025-03</v>
      </c>
    </row>
    <row r="247" customHeight="1" spans="1:17">
      <c r="A247" s="3" t="str">
        <f>Raw_Data!A247</f>
        <v>C0491</v>
      </c>
      <c r="B247" s="4">
        <f>Raw_Data!B247</f>
        <v>45728</v>
      </c>
      <c r="C247" s="3" t="str">
        <f>Raw_Data!C247</f>
        <v>LinkedIn</v>
      </c>
      <c r="D247" s="3" t="str">
        <f>Raw_Data!D247</f>
        <v>East</v>
      </c>
      <c r="E247" s="5">
        <f>Raw_Data!E247</f>
        <v>6969.11</v>
      </c>
      <c r="F247" s="5">
        <f>Raw_Data!F247</f>
        <v>7119.19</v>
      </c>
      <c r="G247" s="3">
        <f>Raw_Data!G247</f>
        <v>64146</v>
      </c>
      <c r="H247" s="3">
        <f>Raw_Data!H247</f>
        <v>2927</v>
      </c>
      <c r="I247" s="3">
        <f>Raw_Data!I247</f>
        <v>300</v>
      </c>
      <c r="J247" s="5">
        <f>Raw_Data!J247</f>
        <v>13906.64</v>
      </c>
      <c r="K247" s="6">
        <f t="shared" si="21"/>
        <v>0.0456302809216475</v>
      </c>
      <c r="L247" s="5">
        <f t="shared" si="22"/>
        <v>2.43224803553126</v>
      </c>
      <c r="M247" s="5">
        <f t="shared" si="23"/>
        <v>23.7306333333333</v>
      </c>
      <c r="N247" s="7">
        <f t="shared" si="24"/>
        <v>1.95340200219407</v>
      </c>
      <c r="O247" s="5">
        <f t="shared" si="25"/>
        <v>6787.45</v>
      </c>
      <c r="P247" s="8">
        <f t="shared" si="26"/>
        <v>48.8072604166067</v>
      </c>
      <c r="Q247" s="3" t="str">
        <f t="shared" si="27"/>
        <v>2025-03</v>
      </c>
    </row>
    <row r="248" customHeight="1" spans="1:17">
      <c r="A248" s="3" t="str">
        <f>Raw_Data!A248</f>
        <v>C0186</v>
      </c>
      <c r="B248" s="4">
        <f>Raw_Data!B248</f>
        <v>45729</v>
      </c>
      <c r="C248" s="3" t="str">
        <f>Raw_Data!C248</f>
        <v>LinkedIn</v>
      </c>
      <c r="D248" s="3" t="str">
        <f>Raw_Data!D248</f>
        <v>East</v>
      </c>
      <c r="E248" s="5">
        <f>Raw_Data!E248</f>
        <v>5824.38</v>
      </c>
      <c r="F248" s="5">
        <f>Raw_Data!F248</f>
        <v>4893.67</v>
      </c>
      <c r="G248" s="3">
        <f>Raw_Data!G248</f>
        <v>168213</v>
      </c>
      <c r="H248" s="3">
        <f>Raw_Data!H248</f>
        <v>2627</v>
      </c>
      <c r="I248" s="3">
        <f>Raw_Data!I248</f>
        <v>160</v>
      </c>
      <c r="J248" s="5">
        <f>Raw_Data!J248</f>
        <v>3338.16</v>
      </c>
      <c r="K248" s="6">
        <f t="shared" si="21"/>
        <v>0.0156171045044081</v>
      </c>
      <c r="L248" s="5">
        <f t="shared" si="22"/>
        <v>1.86283593452608</v>
      </c>
      <c r="M248" s="5">
        <f t="shared" si="23"/>
        <v>30.5854375</v>
      </c>
      <c r="N248" s="7">
        <f t="shared" si="24"/>
        <v>0.682138354241295</v>
      </c>
      <c r="O248" s="5">
        <f t="shared" si="25"/>
        <v>-1555.51</v>
      </c>
      <c r="P248" s="8">
        <f t="shared" si="26"/>
        <v>-46.5978263474489</v>
      </c>
      <c r="Q248" s="3" t="str">
        <f t="shared" si="27"/>
        <v>2025-03</v>
      </c>
    </row>
    <row r="249" customHeight="1" spans="1:17">
      <c r="A249" s="3" t="str">
        <f>Raw_Data!A249</f>
        <v>C0358</v>
      </c>
      <c r="B249" s="4">
        <f>Raw_Data!B249</f>
        <v>45730</v>
      </c>
      <c r="C249" s="3" t="str">
        <f>Raw_Data!C249</f>
        <v>LinkedIn</v>
      </c>
      <c r="D249" s="3" t="str">
        <f>Raw_Data!D249</f>
        <v>East</v>
      </c>
      <c r="E249" s="5">
        <f>Raw_Data!E249</f>
        <v>4635.25</v>
      </c>
      <c r="F249" s="5">
        <f>Raw_Data!F249</f>
        <v>3766.73</v>
      </c>
      <c r="G249" s="3">
        <f>Raw_Data!G249</f>
        <v>83109</v>
      </c>
      <c r="H249" s="3">
        <f>Raw_Data!H249</f>
        <v>3984</v>
      </c>
      <c r="I249" s="3">
        <f>Raw_Data!I249</f>
        <v>764</v>
      </c>
      <c r="J249" s="5">
        <f>Raw_Data!J249</f>
        <v>15689.67</v>
      </c>
      <c r="K249" s="6">
        <f t="shared" si="21"/>
        <v>0.0479370465292568</v>
      </c>
      <c r="L249" s="5">
        <f t="shared" si="22"/>
        <v>0.945464357429719</v>
      </c>
      <c r="M249" s="5">
        <f t="shared" si="23"/>
        <v>4.93027486910995</v>
      </c>
      <c r="N249" s="7">
        <f t="shared" si="24"/>
        <v>4.16532907853762</v>
      </c>
      <c r="O249" s="5">
        <f t="shared" si="25"/>
        <v>11922.94</v>
      </c>
      <c r="P249" s="8">
        <f t="shared" si="26"/>
        <v>75.9922930182725</v>
      </c>
      <c r="Q249" s="3" t="str">
        <f t="shared" si="27"/>
        <v>2025-03</v>
      </c>
    </row>
    <row r="250" customHeight="1" spans="1:17">
      <c r="A250" s="3" t="str">
        <f>Raw_Data!A250</f>
        <v>C0239</v>
      </c>
      <c r="B250" s="4">
        <f>Raw_Data!B250</f>
        <v>45730</v>
      </c>
      <c r="C250" s="3" t="str">
        <f>Raw_Data!C250</f>
        <v>Instagram</v>
      </c>
      <c r="D250" s="3" t="str">
        <f>Raw_Data!D250</f>
        <v>South</v>
      </c>
      <c r="E250" s="5">
        <f>Raw_Data!E250</f>
        <v>5442.08</v>
      </c>
      <c r="F250" s="5">
        <f>Raw_Data!F250</f>
        <v>5871.24</v>
      </c>
      <c r="G250" s="3">
        <f>Raw_Data!G250</f>
        <v>155287</v>
      </c>
      <c r="H250" s="3">
        <f>Raw_Data!H250</f>
        <v>6156</v>
      </c>
      <c r="I250" s="3">
        <f>Raw_Data!I250</f>
        <v>885</v>
      </c>
      <c r="J250" s="5">
        <f>Raw_Data!J250</f>
        <v>39752.95</v>
      </c>
      <c r="K250" s="6">
        <f t="shared" si="21"/>
        <v>0.0396427260491863</v>
      </c>
      <c r="L250" s="5">
        <f t="shared" si="22"/>
        <v>0.953742690058479</v>
      </c>
      <c r="M250" s="5">
        <f t="shared" si="23"/>
        <v>6.63416949152542</v>
      </c>
      <c r="N250" s="7">
        <f t="shared" si="24"/>
        <v>6.77079288191251</v>
      </c>
      <c r="O250" s="5">
        <f t="shared" si="25"/>
        <v>33881.71</v>
      </c>
      <c r="P250" s="8">
        <f t="shared" si="26"/>
        <v>85.230680993486</v>
      </c>
      <c r="Q250" s="3" t="str">
        <f t="shared" si="27"/>
        <v>2025-03</v>
      </c>
    </row>
    <row r="251" customHeight="1" spans="1:17">
      <c r="A251" s="3" t="str">
        <f>Raw_Data!A251</f>
        <v>C0080</v>
      </c>
      <c r="B251" s="4">
        <f>Raw_Data!B251</f>
        <v>45731</v>
      </c>
      <c r="C251" s="3" t="str">
        <f>Raw_Data!C251</f>
        <v>Facebook</v>
      </c>
      <c r="D251" s="3" t="str">
        <f>Raw_Data!D251</f>
        <v>West</v>
      </c>
      <c r="E251" s="5">
        <f>Raw_Data!E251</f>
        <v>3170.21</v>
      </c>
      <c r="F251" s="5">
        <f>Raw_Data!F251</f>
        <v>3150.05</v>
      </c>
      <c r="G251" s="3">
        <f>Raw_Data!G251</f>
        <v>122735</v>
      </c>
      <c r="H251" s="3">
        <f>Raw_Data!H251</f>
        <v>2941</v>
      </c>
      <c r="I251" s="3">
        <f>Raw_Data!I251</f>
        <v>274</v>
      </c>
      <c r="J251" s="5">
        <f>Raw_Data!J251</f>
        <v>6935.85</v>
      </c>
      <c r="K251" s="6">
        <f t="shared" si="21"/>
        <v>0.0239621949729091</v>
      </c>
      <c r="L251" s="5">
        <f t="shared" si="22"/>
        <v>1.07108126487589</v>
      </c>
      <c r="M251" s="5">
        <f t="shared" si="23"/>
        <v>11.4965328467153</v>
      </c>
      <c r="N251" s="7">
        <f t="shared" si="24"/>
        <v>2.20182219329852</v>
      </c>
      <c r="O251" s="5">
        <f t="shared" si="25"/>
        <v>3785.8</v>
      </c>
      <c r="P251" s="8">
        <f t="shared" si="26"/>
        <v>54.5830720099195</v>
      </c>
      <c r="Q251" s="3" t="str">
        <f t="shared" si="27"/>
        <v>2025-03</v>
      </c>
    </row>
    <row r="252" customHeight="1" spans="1:17">
      <c r="A252" s="3" t="str">
        <f>Raw_Data!A252</f>
        <v>C0248</v>
      </c>
      <c r="B252" s="4">
        <f>Raw_Data!B252</f>
        <v>45733</v>
      </c>
      <c r="C252" s="3" t="str">
        <f>Raw_Data!C252</f>
        <v>Google Ads</v>
      </c>
      <c r="D252" s="3" t="str">
        <f>Raw_Data!D252</f>
        <v>South</v>
      </c>
      <c r="E252" s="5">
        <f>Raw_Data!E252</f>
        <v>5109.65</v>
      </c>
      <c r="F252" s="5">
        <f>Raw_Data!F252</f>
        <v>5233.73</v>
      </c>
      <c r="G252" s="3">
        <f>Raw_Data!G252</f>
        <v>179651</v>
      </c>
      <c r="H252" s="3">
        <f>Raw_Data!H252</f>
        <v>4479</v>
      </c>
      <c r="I252" s="3">
        <f>Raw_Data!I252</f>
        <v>887</v>
      </c>
      <c r="J252" s="5">
        <f>Raw_Data!J252</f>
        <v>31117.39</v>
      </c>
      <c r="K252" s="6">
        <f t="shared" si="21"/>
        <v>0.0249316730772442</v>
      </c>
      <c r="L252" s="5">
        <f t="shared" si="22"/>
        <v>1.16850413038625</v>
      </c>
      <c r="M252" s="5">
        <f t="shared" si="23"/>
        <v>5.90048478015783</v>
      </c>
      <c r="N252" s="7">
        <f t="shared" si="24"/>
        <v>5.94554743939791</v>
      </c>
      <c r="O252" s="5">
        <f t="shared" si="25"/>
        <v>25883.66</v>
      </c>
      <c r="P252" s="8">
        <f t="shared" si="26"/>
        <v>83.1806909255564</v>
      </c>
      <c r="Q252" s="3" t="str">
        <f t="shared" si="27"/>
        <v>2025-03</v>
      </c>
    </row>
    <row r="253" customHeight="1" spans="1:17">
      <c r="A253" s="3" t="str">
        <f>Raw_Data!A253</f>
        <v>C0237</v>
      </c>
      <c r="B253" s="4">
        <f>Raw_Data!B253</f>
        <v>45733</v>
      </c>
      <c r="C253" s="3" t="str">
        <f>Raw_Data!C253</f>
        <v>Instagram</v>
      </c>
      <c r="D253" s="3" t="str">
        <f>Raw_Data!D253</f>
        <v>North</v>
      </c>
      <c r="E253" s="5">
        <f>Raw_Data!E253</f>
        <v>4782.48</v>
      </c>
      <c r="F253" s="5">
        <f>Raw_Data!F253</f>
        <v>4803.77</v>
      </c>
      <c r="G253" s="3">
        <f>Raw_Data!G253</f>
        <v>65167</v>
      </c>
      <c r="H253" s="3">
        <f>Raw_Data!H253</f>
        <v>3118</v>
      </c>
      <c r="I253" s="3">
        <f>Raw_Data!I253</f>
        <v>343</v>
      </c>
      <c r="J253" s="5">
        <f>Raw_Data!J253</f>
        <v>14682.74</v>
      </c>
      <c r="K253" s="6">
        <f t="shared" si="21"/>
        <v>0.0478463025764574</v>
      </c>
      <c r="L253" s="5">
        <f t="shared" si="22"/>
        <v>1.54065747273894</v>
      </c>
      <c r="M253" s="5">
        <f t="shared" si="23"/>
        <v>14.0051603498542</v>
      </c>
      <c r="N253" s="7">
        <f t="shared" si="24"/>
        <v>3.05650353784632</v>
      </c>
      <c r="O253" s="5">
        <f t="shared" si="25"/>
        <v>9878.97</v>
      </c>
      <c r="P253" s="8">
        <f t="shared" si="26"/>
        <v>67.2828777190089</v>
      </c>
      <c r="Q253" s="3" t="str">
        <f t="shared" si="27"/>
        <v>2025-03</v>
      </c>
    </row>
    <row r="254" customHeight="1" spans="1:17">
      <c r="A254" s="3" t="str">
        <f>Raw_Data!A254</f>
        <v>C0463</v>
      </c>
      <c r="B254" s="4">
        <f>Raw_Data!B254</f>
        <v>45733</v>
      </c>
      <c r="C254" s="3" t="str">
        <f>Raw_Data!C254</f>
        <v>LinkedIn</v>
      </c>
      <c r="D254" s="3" t="str">
        <f>Raw_Data!D254</f>
        <v>South</v>
      </c>
      <c r="E254" s="5">
        <f>Raw_Data!E254</f>
        <v>8414.31</v>
      </c>
      <c r="F254" s="5">
        <f>Raw_Data!F254</f>
        <v>7061.81</v>
      </c>
      <c r="G254" s="3">
        <f>Raw_Data!G254</f>
        <v>72374</v>
      </c>
      <c r="H254" s="3">
        <f>Raw_Data!H254</f>
        <v>1961</v>
      </c>
      <c r="I254" s="3">
        <f>Raw_Data!I254</f>
        <v>102</v>
      </c>
      <c r="J254" s="5">
        <f>Raw_Data!J254</f>
        <v>5007.65</v>
      </c>
      <c r="K254" s="6">
        <f t="shared" si="21"/>
        <v>0.0270953657390776</v>
      </c>
      <c r="L254" s="5">
        <f t="shared" si="22"/>
        <v>3.60112697603264</v>
      </c>
      <c r="M254" s="5">
        <f t="shared" si="23"/>
        <v>69.233431372549</v>
      </c>
      <c r="N254" s="7">
        <f t="shared" si="24"/>
        <v>0.709117067720598</v>
      </c>
      <c r="O254" s="5">
        <f t="shared" si="25"/>
        <v>-2054.16</v>
      </c>
      <c r="P254" s="8">
        <f t="shared" si="26"/>
        <v>-41.020438728745</v>
      </c>
      <c r="Q254" s="3" t="str">
        <f t="shared" si="27"/>
        <v>2025-03</v>
      </c>
    </row>
    <row r="255" customHeight="1" spans="1:17">
      <c r="A255" s="3" t="str">
        <f>Raw_Data!A255</f>
        <v>C0232</v>
      </c>
      <c r="B255" s="4">
        <f>Raw_Data!B255</f>
        <v>45734</v>
      </c>
      <c r="C255" s="3" t="str">
        <f>Raw_Data!C255</f>
        <v>Google Ads</v>
      </c>
      <c r="D255" s="3" t="str">
        <f>Raw_Data!D255</f>
        <v>West</v>
      </c>
      <c r="E255" s="5">
        <f>Raw_Data!E255</f>
        <v>4696.87</v>
      </c>
      <c r="F255" s="5">
        <f>Raw_Data!F255</f>
        <v>3919.31</v>
      </c>
      <c r="G255" s="3">
        <f>Raw_Data!G255</f>
        <v>178747</v>
      </c>
      <c r="H255" s="3">
        <f>Raw_Data!H255</f>
        <v>7649</v>
      </c>
      <c r="I255" s="3">
        <f>Raw_Data!I255</f>
        <v>235</v>
      </c>
      <c r="J255" s="5">
        <f>Raw_Data!J255</f>
        <v>9004.87</v>
      </c>
      <c r="K255" s="6">
        <f t="shared" si="21"/>
        <v>0.0427923265845021</v>
      </c>
      <c r="L255" s="5">
        <f t="shared" si="22"/>
        <v>0.512395084324748</v>
      </c>
      <c r="M255" s="5">
        <f t="shared" si="23"/>
        <v>16.677914893617</v>
      </c>
      <c r="N255" s="7">
        <f t="shared" si="24"/>
        <v>2.29756513263814</v>
      </c>
      <c r="O255" s="5">
        <f t="shared" si="25"/>
        <v>5085.56</v>
      </c>
      <c r="P255" s="8">
        <f t="shared" si="26"/>
        <v>56.4756626136746</v>
      </c>
      <c r="Q255" s="3" t="str">
        <f t="shared" si="27"/>
        <v>2025-03</v>
      </c>
    </row>
    <row r="256" customHeight="1" spans="1:17">
      <c r="A256" s="3" t="str">
        <f>Raw_Data!A256</f>
        <v>C0255</v>
      </c>
      <c r="B256" s="4">
        <f>Raw_Data!B256</f>
        <v>45734</v>
      </c>
      <c r="C256" s="3" t="str">
        <f>Raw_Data!C256</f>
        <v>LinkedIn</v>
      </c>
      <c r="D256" s="3" t="str">
        <f>Raw_Data!D256</f>
        <v>West</v>
      </c>
      <c r="E256" s="5">
        <f>Raw_Data!E256</f>
        <v>4739.42</v>
      </c>
      <c r="F256" s="5">
        <f>Raw_Data!F256</f>
        <v>4849.3</v>
      </c>
      <c r="G256" s="3">
        <f>Raw_Data!G256</f>
        <v>109146</v>
      </c>
      <c r="H256" s="3">
        <f>Raw_Data!H256</f>
        <v>3124</v>
      </c>
      <c r="I256" s="3">
        <f>Raw_Data!I256</f>
        <v>400</v>
      </c>
      <c r="J256" s="5">
        <f>Raw_Data!J256</f>
        <v>8402.39</v>
      </c>
      <c r="K256" s="6">
        <f t="shared" si="21"/>
        <v>0.0286222124493797</v>
      </c>
      <c r="L256" s="5">
        <f t="shared" si="22"/>
        <v>1.55227272727273</v>
      </c>
      <c r="M256" s="5">
        <f t="shared" si="23"/>
        <v>12.12325</v>
      </c>
      <c r="N256" s="7">
        <f t="shared" si="24"/>
        <v>1.73270162703895</v>
      </c>
      <c r="O256" s="5">
        <f t="shared" si="25"/>
        <v>3553.09</v>
      </c>
      <c r="P256" s="8">
        <f t="shared" si="26"/>
        <v>42.286658914904</v>
      </c>
      <c r="Q256" s="3" t="str">
        <f t="shared" si="27"/>
        <v>2025-03</v>
      </c>
    </row>
    <row r="257" customHeight="1" spans="1:17">
      <c r="A257" s="3" t="str">
        <f>Raw_Data!A257</f>
        <v>C0065</v>
      </c>
      <c r="B257" s="4">
        <f>Raw_Data!B257</f>
        <v>45734</v>
      </c>
      <c r="C257" s="3" t="str">
        <f>Raw_Data!C257</f>
        <v>LinkedIn</v>
      </c>
      <c r="D257" s="3" t="str">
        <f>Raw_Data!D257</f>
        <v>North</v>
      </c>
      <c r="E257" s="5">
        <f>Raw_Data!E257</f>
        <v>9302.93</v>
      </c>
      <c r="F257" s="5">
        <f>Raw_Data!F257</f>
        <v>9209.25</v>
      </c>
      <c r="G257" s="3">
        <f>Raw_Data!G257</f>
        <v>75522</v>
      </c>
      <c r="H257" s="3">
        <f>Raw_Data!H257</f>
        <v>1938</v>
      </c>
      <c r="I257" s="3">
        <f>Raw_Data!I257</f>
        <v>231</v>
      </c>
      <c r="J257" s="5">
        <f>Raw_Data!J257</f>
        <v>6969.48</v>
      </c>
      <c r="K257" s="6">
        <f t="shared" si="21"/>
        <v>0.0256613966791134</v>
      </c>
      <c r="L257" s="5">
        <f t="shared" si="22"/>
        <v>4.75193498452012</v>
      </c>
      <c r="M257" s="5">
        <f t="shared" si="23"/>
        <v>39.8668831168831</v>
      </c>
      <c r="N257" s="7">
        <f t="shared" si="24"/>
        <v>0.756791269647365</v>
      </c>
      <c r="O257" s="5">
        <f t="shared" si="25"/>
        <v>-2239.77</v>
      </c>
      <c r="P257" s="8">
        <f t="shared" si="26"/>
        <v>-32.1368308683001</v>
      </c>
      <c r="Q257" s="3" t="str">
        <f t="shared" si="27"/>
        <v>2025-03</v>
      </c>
    </row>
    <row r="258" customHeight="1" spans="1:17">
      <c r="A258" s="3" t="str">
        <f>Raw_Data!A258</f>
        <v>C0343</v>
      </c>
      <c r="B258" s="4">
        <f>Raw_Data!B258</f>
        <v>45735</v>
      </c>
      <c r="C258" s="3" t="str">
        <f>Raw_Data!C258</f>
        <v>Twitter</v>
      </c>
      <c r="D258" s="3" t="str">
        <f>Raw_Data!D258</f>
        <v>South</v>
      </c>
      <c r="E258" s="5">
        <f>Raw_Data!E258</f>
        <v>9034.3</v>
      </c>
      <c r="F258" s="5">
        <f>Raw_Data!F258</f>
        <v>9516.41</v>
      </c>
      <c r="G258" s="3">
        <f>Raw_Data!G258</f>
        <v>103912</v>
      </c>
      <c r="H258" s="3">
        <f>Raw_Data!H258</f>
        <v>1528</v>
      </c>
      <c r="I258" s="3">
        <f>Raw_Data!I258</f>
        <v>148</v>
      </c>
      <c r="J258" s="5">
        <f>Raw_Data!J258</f>
        <v>4376.81</v>
      </c>
      <c r="K258" s="6">
        <f t="shared" ref="K258:K321" si="28">IFERROR(H258/G258,0)</f>
        <v>0.0147047501732235</v>
      </c>
      <c r="L258" s="5">
        <f t="shared" ref="L258:L321" si="29">IFERROR(F258/H258,0)</f>
        <v>6.22801701570681</v>
      </c>
      <c r="M258" s="5">
        <f t="shared" ref="M258:M321" si="30">IFERROR(F258/I258,0)</f>
        <v>64.3000675675676</v>
      </c>
      <c r="N258" s="7">
        <f t="shared" ref="N258:N321" si="31">IFERROR(J258/F258,0)</f>
        <v>0.459922386698345</v>
      </c>
      <c r="O258" s="5">
        <f t="shared" ref="O258:O321" si="32">J258-F258</f>
        <v>-5139.6</v>
      </c>
      <c r="P258" s="8">
        <f t="shared" ref="P258:P321" si="33">IFERROR(O258/J258*100,0)</f>
        <v>-117.427989791652</v>
      </c>
      <c r="Q258" s="3" t="str">
        <f t="shared" ref="Q258:Q321" si="34">TEXT(B258,"YYYY-MM")</f>
        <v>2025-03</v>
      </c>
    </row>
    <row r="259" customHeight="1" spans="1:17">
      <c r="A259" s="3" t="str">
        <f>Raw_Data!A259</f>
        <v>C0117</v>
      </c>
      <c r="B259" s="4">
        <f>Raw_Data!B259</f>
        <v>45735</v>
      </c>
      <c r="C259" s="3" t="str">
        <f>Raw_Data!C259</f>
        <v>LinkedIn</v>
      </c>
      <c r="D259" s="3" t="str">
        <f>Raw_Data!D259</f>
        <v>West</v>
      </c>
      <c r="E259" s="5">
        <f>Raw_Data!E259</f>
        <v>5622.29</v>
      </c>
      <c r="F259" s="5">
        <f>Raw_Data!F259</f>
        <v>5553.46</v>
      </c>
      <c r="G259" s="3">
        <f>Raw_Data!G259</f>
        <v>184625</v>
      </c>
      <c r="H259" s="3">
        <f>Raw_Data!H259</f>
        <v>5858</v>
      </c>
      <c r="I259" s="3">
        <f>Raw_Data!I259</f>
        <v>179</v>
      </c>
      <c r="J259" s="5">
        <f>Raw_Data!J259</f>
        <v>6281.84</v>
      </c>
      <c r="K259" s="6">
        <f t="shared" si="28"/>
        <v>0.0317291807718348</v>
      </c>
      <c r="L259" s="5">
        <f t="shared" si="29"/>
        <v>0.948012973711164</v>
      </c>
      <c r="M259" s="5">
        <f t="shared" si="30"/>
        <v>31.0249162011173</v>
      </c>
      <c r="N259" s="7">
        <f t="shared" si="31"/>
        <v>1.1311578727496</v>
      </c>
      <c r="O259" s="5">
        <f t="shared" si="32"/>
        <v>728.38</v>
      </c>
      <c r="P259" s="8">
        <f t="shared" si="33"/>
        <v>11.5950103791246</v>
      </c>
      <c r="Q259" s="3" t="str">
        <f t="shared" si="34"/>
        <v>2025-03</v>
      </c>
    </row>
    <row r="260" customHeight="1" spans="1:17">
      <c r="A260" s="3" t="str">
        <f>Raw_Data!A260</f>
        <v>C0444</v>
      </c>
      <c r="B260" s="4">
        <f>Raw_Data!B260</f>
        <v>45735</v>
      </c>
      <c r="C260" s="3" t="str">
        <f>Raw_Data!C260</f>
        <v>Instagram</v>
      </c>
      <c r="D260" s="3" t="str">
        <f>Raw_Data!D260</f>
        <v>South</v>
      </c>
      <c r="E260" s="5">
        <f>Raw_Data!E260</f>
        <v>6487.37</v>
      </c>
      <c r="F260" s="5">
        <f>Raw_Data!F260</f>
        <v>6270.75</v>
      </c>
      <c r="G260" s="3">
        <f>Raw_Data!G260</f>
        <v>145244</v>
      </c>
      <c r="H260" s="3">
        <f>Raw_Data!H260</f>
        <v>7015</v>
      </c>
      <c r="I260" s="3">
        <f>Raw_Data!I260</f>
        <v>623</v>
      </c>
      <c r="J260" s="5">
        <f>Raw_Data!J260</f>
        <v>25901.88</v>
      </c>
      <c r="K260" s="6">
        <f t="shared" si="28"/>
        <v>0.0482980364077001</v>
      </c>
      <c r="L260" s="5">
        <f t="shared" si="29"/>
        <v>0.893905915894512</v>
      </c>
      <c r="M260" s="5">
        <f t="shared" si="30"/>
        <v>10.0654093097913</v>
      </c>
      <c r="N260" s="7">
        <f t="shared" si="31"/>
        <v>4.13058725032891</v>
      </c>
      <c r="O260" s="5">
        <f t="shared" si="32"/>
        <v>19631.13</v>
      </c>
      <c r="P260" s="8">
        <f t="shared" si="33"/>
        <v>75.7903673401313</v>
      </c>
      <c r="Q260" s="3" t="str">
        <f t="shared" si="34"/>
        <v>2025-03</v>
      </c>
    </row>
    <row r="261" customHeight="1" spans="1:17">
      <c r="A261" s="3" t="str">
        <f>Raw_Data!A261</f>
        <v>C0295</v>
      </c>
      <c r="B261" s="4">
        <f>Raw_Data!B261</f>
        <v>45735</v>
      </c>
      <c r="C261" s="3" t="str">
        <f>Raw_Data!C261</f>
        <v>Google Ads</v>
      </c>
      <c r="D261" s="3" t="str">
        <f>Raw_Data!D261</f>
        <v>West</v>
      </c>
      <c r="E261" s="5">
        <f>Raw_Data!E261</f>
        <v>3137.97</v>
      </c>
      <c r="F261" s="5">
        <f>Raw_Data!F261</f>
        <v>2608.38</v>
      </c>
      <c r="G261" s="3">
        <f>Raw_Data!G261</f>
        <v>54030</v>
      </c>
      <c r="H261" s="3">
        <f>Raw_Data!H261</f>
        <v>2101</v>
      </c>
      <c r="I261" s="3">
        <f>Raw_Data!I261</f>
        <v>226</v>
      </c>
      <c r="J261" s="5">
        <f>Raw_Data!J261</f>
        <v>9943.43</v>
      </c>
      <c r="K261" s="6">
        <f t="shared" si="28"/>
        <v>0.0388858041828614</v>
      </c>
      <c r="L261" s="5">
        <f t="shared" si="29"/>
        <v>1.24149452641599</v>
      </c>
      <c r="M261" s="5">
        <f t="shared" si="30"/>
        <v>11.5415044247788</v>
      </c>
      <c r="N261" s="7">
        <f t="shared" si="31"/>
        <v>3.81210943190793</v>
      </c>
      <c r="O261" s="5">
        <f t="shared" si="32"/>
        <v>7335.05</v>
      </c>
      <c r="P261" s="8">
        <f t="shared" si="33"/>
        <v>73.7678044698861</v>
      </c>
      <c r="Q261" s="3" t="str">
        <f t="shared" si="34"/>
        <v>2025-03</v>
      </c>
    </row>
    <row r="262" customHeight="1" spans="1:17">
      <c r="A262" s="3" t="str">
        <f>Raw_Data!A262</f>
        <v>C0464</v>
      </c>
      <c r="B262" s="4">
        <f>Raw_Data!B262</f>
        <v>45736</v>
      </c>
      <c r="C262" s="3" t="str">
        <f>Raw_Data!C262</f>
        <v>Twitter</v>
      </c>
      <c r="D262" s="3" t="str">
        <f>Raw_Data!D262</f>
        <v>North</v>
      </c>
      <c r="E262" s="5">
        <f>Raw_Data!E262</f>
        <v>6176.53</v>
      </c>
      <c r="F262" s="5">
        <f>Raw_Data!F262</f>
        <v>5378.62</v>
      </c>
      <c r="G262" s="3">
        <f>Raw_Data!G262</f>
        <v>194426</v>
      </c>
      <c r="H262" s="3">
        <f>Raw_Data!H262</f>
        <v>2729</v>
      </c>
      <c r="I262" s="3">
        <f>Raw_Data!I262</f>
        <v>147</v>
      </c>
      <c r="J262" s="5">
        <f>Raw_Data!J262</f>
        <v>3264.12</v>
      </c>
      <c r="K262" s="6">
        <f t="shared" si="28"/>
        <v>0.014036188575602</v>
      </c>
      <c r="L262" s="5">
        <f t="shared" si="29"/>
        <v>1.97091242213265</v>
      </c>
      <c r="M262" s="5">
        <f t="shared" si="30"/>
        <v>36.5892517006803</v>
      </c>
      <c r="N262" s="7">
        <f t="shared" si="31"/>
        <v>0.60686942003711</v>
      </c>
      <c r="O262" s="5">
        <f t="shared" si="32"/>
        <v>-2114.5</v>
      </c>
      <c r="P262" s="8">
        <f t="shared" si="33"/>
        <v>-64.780093869098</v>
      </c>
      <c r="Q262" s="3" t="str">
        <f t="shared" si="34"/>
        <v>2025-03</v>
      </c>
    </row>
    <row r="263" customHeight="1" spans="1:17">
      <c r="A263" s="3" t="str">
        <f>Raw_Data!A263</f>
        <v>C0367</v>
      </c>
      <c r="B263" s="4">
        <f>Raw_Data!B263</f>
        <v>45736</v>
      </c>
      <c r="C263" s="3" t="str">
        <f>Raw_Data!C263</f>
        <v>LinkedIn</v>
      </c>
      <c r="D263" s="3" t="str">
        <f>Raw_Data!D263</f>
        <v>North</v>
      </c>
      <c r="E263" s="5">
        <f>Raw_Data!E263</f>
        <v>8457.09</v>
      </c>
      <c r="F263" s="5">
        <f>Raw_Data!F263</f>
        <v>7653.98</v>
      </c>
      <c r="G263" s="3">
        <f>Raw_Data!G263</f>
        <v>69189</v>
      </c>
      <c r="H263" s="3">
        <f>Raw_Data!H263</f>
        <v>1438</v>
      </c>
      <c r="I263" s="3">
        <f>Raw_Data!I263</f>
        <v>105</v>
      </c>
      <c r="J263" s="5">
        <f>Raw_Data!J263</f>
        <v>2282.2</v>
      </c>
      <c r="K263" s="6">
        <f t="shared" si="28"/>
        <v>0.0207836505802946</v>
      </c>
      <c r="L263" s="5">
        <f t="shared" si="29"/>
        <v>5.32265646731572</v>
      </c>
      <c r="M263" s="5">
        <f t="shared" si="30"/>
        <v>72.8950476190476</v>
      </c>
      <c r="N263" s="7">
        <f t="shared" si="31"/>
        <v>0.298171670163758</v>
      </c>
      <c r="O263" s="5">
        <f t="shared" si="32"/>
        <v>-5371.78</v>
      </c>
      <c r="P263" s="8">
        <f t="shared" si="33"/>
        <v>-235.377267548856</v>
      </c>
      <c r="Q263" s="3" t="str">
        <f t="shared" si="34"/>
        <v>2025-03</v>
      </c>
    </row>
    <row r="264" customHeight="1" spans="1:17">
      <c r="A264" s="3" t="str">
        <f>Raw_Data!A264</f>
        <v>C0332</v>
      </c>
      <c r="B264" s="4">
        <f>Raw_Data!B264</f>
        <v>45737</v>
      </c>
      <c r="C264" s="3" t="str">
        <f>Raw_Data!C264</f>
        <v>Facebook</v>
      </c>
      <c r="D264" s="3" t="str">
        <f>Raw_Data!D264</f>
        <v>East</v>
      </c>
      <c r="E264" s="5">
        <f>Raw_Data!E264</f>
        <v>7131.61</v>
      </c>
      <c r="F264" s="5">
        <f>Raw_Data!F264</f>
        <v>6477.59</v>
      </c>
      <c r="G264" s="3">
        <f>Raw_Data!G264</f>
        <v>171861</v>
      </c>
      <c r="H264" s="3">
        <f>Raw_Data!H264</f>
        <v>2743</v>
      </c>
      <c r="I264" s="3">
        <f>Raw_Data!I264</f>
        <v>78</v>
      </c>
      <c r="J264" s="5">
        <f>Raw_Data!J264</f>
        <v>1774.3</v>
      </c>
      <c r="K264" s="6">
        <f t="shared" si="28"/>
        <v>0.0159605727884744</v>
      </c>
      <c r="L264" s="5">
        <f t="shared" si="29"/>
        <v>2.36149835946044</v>
      </c>
      <c r="M264" s="5">
        <f t="shared" si="30"/>
        <v>83.0460256410256</v>
      </c>
      <c r="N264" s="7">
        <f t="shared" si="31"/>
        <v>0.273913600582933</v>
      </c>
      <c r="O264" s="5">
        <f t="shared" si="32"/>
        <v>-4703.29</v>
      </c>
      <c r="P264" s="8">
        <f t="shared" si="33"/>
        <v>-265.078622555374</v>
      </c>
      <c r="Q264" s="3" t="str">
        <f t="shared" si="34"/>
        <v>2025-03</v>
      </c>
    </row>
    <row r="265" customHeight="1" spans="1:17">
      <c r="A265" s="3" t="str">
        <f>Raw_Data!A265</f>
        <v>C0288</v>
      </c>
      <c r="B265" s="4">
        <f>Raw_Data!B265</f>
        <v>45738</v>
      </c>
      <c r="C265" s="3" t="str">
        <f>Raw_Data!C265</f>
        <v>LinkedIn</v>
      </c>
      <c r="D265" s="3" t="str">
        <f>Raw_Data!D265</f>
        <v>East</v>
      </c>
      <c r="E265" s="5">
        <f>Raw_Data!E265</f>
        <v>6173.02</v>
      </c>
      <c r="F265" s="5">
        <f>Raw_Data!F265</f>
        <v>5909.54</v>
      </c>
      <c r="G265" s="3">
        <f>Raw_Data!G265</f>
        <v>146175</v>
      </c>
      <c r="H265" s="3">
        <f>Raw_Data!H265</f>
        <v>1946</v>
      </c>
      <c r="I265" s="3">
        <f>Raw_Data!I265</f>
        <v>140</v>
      </c>
      <c r="J265" s="5">
        <f>Raw_Data!J265</f>
        <v>4651.2</v>
      </c>
      <c r="K265" s="6">
        <f t="shared" si="28"/>
        <v>0.013312809988028</v>
      </c>
      <c r="L265" s="5">
        <f t="shared" si="29"/>
        <v>3.03676258992806</v>
      </c>
      <c r="M265" s="5">
        <f t="shared" si="30"/>
        <v>42.211</v>
      </c>
      <c r="N265" s="7">
        <f t="shared" si="31"/>
        <v>0.787066336804557</v>
      </c>
      <c r="O265" s="5">
        <f t="shared" si="32"/>
        <v>-1258.34</v>
      </c>
      <c r="P265" s="8">
        <f t="shared" si="33"/>
        <v>-27.0540935672515</v>
      </c>
      <c r="Q265" s="3" t="str">
        <f t="shared" si="34"/>
        <v>2025-03</v>
      </c>
    </row>
    <row r="266" customHeight="1" spans="1:17">
      <c r="A266" s="3" t="str">
        <f>Raw_Data!A266</f>
        <v>C0302</v>
      </c>
      <c r="B266" s="4">
        <f>Raw_Data!B266</f>
        <v>45739</v>
      </c>
      <c r="C266" s="3" t="str">
        <f>Raw_Data!C266</f>
        <v>Twitter</v>
      </c>
      <c r="D266" s="3" t="str">
        <f>Raw_Data!D266</f>
        <v>North</v>
      </c>
      <c r="E266" s="5">
        <f>Raw_Data!E266</f>
        <v>7081.29</v>
      </c>
      <c r="F266" s="5">
        <f>Raw_Data!F266</f>
        <v>6560.3</v>
      </c>
      <c r="G266" s="3">
        <f>Raw_Data!G266</f>
        <v>163874</v>
      </c>
      <c r="H266" s="3">
        <f>Raw_Data!H266</f>
        <v>4357</v>
      </c>
      <c r="I266" s="3">
        <f>Raw_Data!I266</f>
        <v>137</v>
      </c>
      <c r="J266" s="5">
        <f>Raw_Data!J266</f>
        <v>6408.88</v>
      </c>
      <c r="K266" s="6">
        <f t="shared" si="28"/>
        <v>0.0265875001525562</v>
      </c>
      <c r="L266" s="5">
        <f t="shared" si="29"/>
        <v>1.50569198990131</v>
      </c>
      <c r="M266" s="5">
        <f t="shared" si="30"/>
        <v>47.885401459854</v>
      </c>
      <c r="N266" s="7">
        <f t="shared" si="31"/>
        <v>0.976918738472326</v>
      </c>
      <c r="O266" s="5">
        <f t="shared" si="32"/>
        <v>-151.42</v>
      </c>
      <c r="P266" s="8">
        <f t="shared" si="33"/>
        <v>-2.36265931020709</v>
      </c>
      <c r="Q266" s="3" t="str">
        <f t="shared" si="34"/>
        <v>2025-03</v>
      </c>
    </row>
    <row r="267" customHeight="1" spans="1:17">
      <c r="A267" s="3" t="str">
        <f>Raw_Data!A267</f>
        <v>C0162</v>
      </c>
      <c r="B267" s="4">
        <f>Raw_Data!B267</f>
        <v>45739</v>
      </c>
      <c r="C267" s="3" t="str">
        <f>Raw_Data!C267</f>
        <v>Google Ads</v>
      </c>
      <c r="D267" s="3" t="str">
        <f>Raw_Data!D267</f>
        <v>North</v>
      </c>
      <c r="E267" s="5">
        <f>Raw_Data!E267</f>
        <v>7392.91</v>
      </c>
      <c r="F267" s="5">
        <f>Raw_Data!F267</f>
        <v>7210.26</v>
      </c>
      <c r="G267" s="3">
        <f>Raw_Data!G267</f>
        <v>120570</v>
      </c>
      <c r="H267" s="3">
        <f>Raw_Data!H267</f>
        <v>1495</v>
      </c>
      <c r="I267" s="3">
        <f>Raw_Data!I267</f>
        <v>104</v>
      </c>
      <c r="J267" s="5">
        <f>Raw_Data!J267</f>
        <v>4891.61</v>
      </c>
      <c r="K267" s="6">
        <f t="shared" si="28"/>
        <v>0.012399436012275</v>
      </c>
      <c r="L267" s="5">
        <f t="shared" si="29"/>
        <v>4.82291638795987</v>
      </c>
      <c r="M267" s="5">
        <f t="shared" si="30"/>
        <v>69.3294230769231</v>
      </c>
      <c r="N267" s="7">
        <f t="shared" si="31"/>
        <v>0.678423524255713</v>
      </c>
      <c r="O267" s="5">
        <f t="shared" si="32"/>
        <v>-2318.65</v>
      </c>
      <c r="P267" s="8">
        <f t="shared" si="33"/>
        <v>-47.4005491034649</v>
      </c>
      <c r="Q267" s="3" t="str">
        <f t="shared" si="34"/>
        <v>2025-03</v>
      </c>
    </row>
    <row r="268" customHeight="1" spans="1:17">
      <c r="A268" s="3" t="str">
        <f>Raw_Data!A268</f>
        <v>C0459</v>
      </c>
      <c r="B268" s="4">
        <f>Raw_Data!B268</f>
        <v>45739</v>
      </c>
      <c r="C268" s="3" t="str">
        <f>Raw_Data!C268</f>
        <v>Google Ads</v>
      </c>
      <c r="D268" s="3" t="str">
        <f>Raw_Data!D268</f>
        <v>West</v>
      </c>
      <c r="E268" s="5">
        <f>Raw_Data!E268</f>
        <v>4730.62</v>
      </c>
      <c r="F268" s="5">
        <f>Raw_Data!F268</f>
        <v>5020.25</v>
      </c>
      <c r="G268" s="3">
        <f>Raw_Data!G268</f>
        <v>116506</v>
      </c>
      <c r="H268" s="3">
        <f>Raw_Data!H268</f>
        <v>4331</v>
      </c>
      <c r="I268" s="3">
        <f>Raw_Data!I268</f>
        <v>122</v>
      </c>
      <c r="J268" s="5">
        <f>Raw_Data!J268</f>
        <v>4069.82</v>
      </c>
      <c r="K268" s="6">
        <f t="shared" si="28"/>
        <v>0.0371740511218306</v>
      </c>
      <c r="L268" s="5">
        <f t="shared" si="29"/>
        <v>1.15914338489956</v>
      </c>
      <c r="M268" s="5">
        <f t="shared" si="30"/>
        <v>41.1495901639344</v>
      </c>
      <c r="N268" s="7">
        <f t="shared" si="31"/>
        <v>0.810680742990887</v>
      </c>
      <c r="O268" s="5">
        <f t="shared" si="32"/>
        <v>-950.43</v>
      </c>
      <c r="P268" s="8">
        <f t="shared" si="33"/>
        <v>-23.3531212682625</v>
      </c>
      <c r="Q268" s="3" t="str">
        <f t="shared" si="34"/>
        <v>2025-03</v>
      </c>
    </row>
    <row r="269" customHeight="1" spans="1:17">
      <c r="A269" s="3" t="str">
        <f>Raw_Data!A269</f>
        <v>C0244</v>
      </c>
      <c r="B269" s="4">
        <f>Raw_Data!B269</f>
        <v>45739</v>
      </c>
      <c r="C269" s="3" t="str">
        <f>Raw_Data!C269</f>
        <v>Facebook</v>
      </c>
      <c r="D269" s="3" t="str">
        <f>Raw_Data!D269</f>
        <v>South</v>
      </c>
      <c r="E269" s="5">
        <f>Raw_Data!E269</f>
        <v>4145.59</v>
      </c>
      <c r="F269" s="5">
        <f>Raw_Data!F269</f>
        <v>3520.77</v>
      </c>
      <c r="G269" s="3">
        <f>Raw_Data!G269</f>
        <v>53472</v>
      </c>
      <c r="H269" s="3">
        <f>Raw_Data!H269</f>
        <v>1779</v>
      </c>
      <c r="I269" s="3">
        <f>Raw_Data!I269</f>
        <v>127</v>
      </c>
      <c r="J269" s="5">
        <f>Raw_Data!J269</f>
        <v>5643.53</v>
      </c>
      <c r="K269" s="6">
        <f t="shared" si="28"/>
        <v>0.0332697486535009</v>
      </c>
      <c r="L269" s="5">
        <f t="shared" si="29"/>
        <v>1.97907251264755</v>
      </c>
      <c r="M269" s="5">
        <f t="shared" si="30"/>
        <v>27.7225984251968</v>
      </c>
      <c r="N269" s="7">
        <f t="shared" si="31"/>
        <v>1.60292492835374</v>
      </c>
      <c r="O269" s="5">
        <f t="shared" si="32"/>
        <v>2122.76</v>
      </c>
      <c r="P269" s="8">
        <f t="shared" si="33"/>
        <v>37.6140465276166</v>
      </c>
      <c r="Q269" s="3" t="str">
        <f t="shared" si="34"/>
        <v>2025-03</v>
      </c>
    </row>
    <row r="270" customHeight="1" spans="1:17">
      <c r="A270" s="3" t="str">
        <f>Raw_Data!A270</f>
        <v>C0097</v>
      </c>
      <c r="B270" s="4">
        <f>Raw_Data!B270</f>
        <v>45742</v>
      </c>
      <c r="C270" s="3" t="str">
        <f>Raw_Data!C270</f>
        <v>Instagram</v>
      </c>
      <c r="D270" s="3" t="str">
        <f>Raw_Data!D270</f>
        <v>South</v>
      </c>
      <c r="E270" s="5">
        <f>Raw_Data!E270</f>
        <v>5005.79</v>
      </c>
      <c r="F270" s="5">
        <f>Raw_Data!F270</f>
        <v>4891.91</v>
      </c>
      <c r="G270" s="3">
        <f>Raw_Data!G270</f>
        <v>58155</v>
      </c>
      <c r="H270" s="3">
        <f>Raw_Data!H270</f>
        <v>2713</v>
      </c>
      <c r="I270" s="3">
        <f>Raw_Data!I270</f>
        <v>76</v>
      </c>
      <c r="J270" s="5">
        <f>Raw_Data!J270</f>
        <v>1589.54</v>
      </c>
      <c r="K270" s="6">
        <f t="shared" si="28"/>
        <v>0.0466511907832517</v>
      </c>
      <c r="L270" s="5">
        <f t="shared" si="29"/>
        <v>1.80313674898636</v>
      </c>
      <c r="M270" s="5">
        <f t="shared" si="30"/>
        <v>64.3672368421053</v>
      </c>
      <c r="N270" s="7">
        <f t="shared" si="31"/>
        <v>0.324932388371822</v>
      </c>
      <c r="O270" s="5">
        <f t="shared" si="32"/>
        <v>-3302.37</v>
      </c>
      <c r="P270" s="8">
        <f t="shared" si="33"/>
        <v>-207.756332020585</v>
      </c>
      <c r="Q270" s="3" t="str">
        <f t="shared" si="34"/>
        <v>2025-03</v>
      </c>
    </row>
    <row r="271" customHeight="1" spans="1:17">
      <c r="A271" s="3" t="str">
        <f>Raw_Data!A271</f>
        <v>C0395</v>
      </c>
      <c r="B271" s="4">
        <f>Raw_Data!B271</f>
        <v>45742</v>
      </c>
      <c r="C271" s="3" t="str">
        <f>Raw_Data!C271</f>
        <v>Facebook</v>
      </c>
      <c r="D271" s="3" t="str">
        <f>Raw_Data!D271</f>
        <v>East</v>
      </c>
      <c r="E271" s="5">
        <f>Raw_Data!E271</f>
        <v>7428.35</v>
      </c>
      <c r="F271" s="5">
        <f>Raw_Data!F271</f>
        <v>8019.71</v>
      </c>
      <c r="G271" s="3">
        <f>Raw_Data!G271</f>
        <v>145695</v>
      </c>
      <c r="H271" s="3">
        <f>Raw_Data!H271</f>
        <v>2785</v>
      </c>
      <c r="I271" s="3">
        <f>Raw_Data!I271</f>
        <v>83</v>
      </c>
      <c r="J271" s="5">
        <f>Raw_Data!J271</f>
        <v>1915.25</v>
      </c>
      <c r="K271" s="6">
        <f t="shared" si="28"/>
        <v>0.0191152750609149</v>
      </c>
      <c r="L271" s="5">
        <f t="shared" si="29"/>
        <v>2.87960861759425</v>
      </c>
      <c r="M271" s="5">
        <f t="shared" si="30"/>
        <v>96.6230120481928</v>
      </c>
      <c r="N271" s="7">
        <f t="shared" si="31"/>
        <v>0.238817862491287</v>
      </c>
      <c r="O271" s="5">
        <f t="shared" si="32"/>
        <v>-6104.46</v>
      </c>
      <c r="P271" s="8">
        <f t="shared" si="33"/>
        <v>-318.729147630858</v>
      </c>
      <c r="Q271" s="3" t="str">
        <f t="shared" si="34"/>
        <v>2025-03</v>
      </c>
    </row>
    <row r="272" customHeight="1" spans="1:17">
      <c r="A272" s="3" t="str">
        <f>Raw_Data!A272</f>
        <v>C0446</v>
      </c>
      <c r="B272" s="4">
        <f>Raw_Data!B272</f>
        <v>45742</v>
      </c>
      <c r="C272" s="3" t="str">
        <f>Raw_Data!C272</f>
        <v>LinkedIn</v>
      </c>
      <c r="D272" s="3" t="str">
        <f>Raw_Data!D272</f>
        <v>North</v>
      </c>
      <c r="E272" s="5">
        <f>Raw_Data!E272</f>
        <v>7552.28</v>
      </c>
      <c r="F272" s="5">
        <f>Raw_Data!F272</f>
        <v>6493.92</v>
      </c>
      <c r="G272" s="3">
        <f>Raw_Data!G272</f>
        <v>187179</v>
      </c>
      <c r="H272" s="3">
        <f>Raw_Data!H272</f>
        <v>9269</v>
      </c>
      <c r="I272" s="3">
        <f>Raw_Data!I272</f>
        <v>1087</v>
      </c>
      <c r="J272" s="5">
        <f>Raw_Data!J272</f>
        <v>43922.24</v>
      </c>
      <c r="K272" s="6">
        <f t="shared" si="28"/>
        <v>0.0495194439547171</v>
      </c>
      <c r="L272" s="5">
        <f t="shared" si="29"/>
        <v>0.700606322149099</v>
      </c>
      <c r="M272" s="5">
        <f t="shared" si="30"/>
        <v>5.97416743330267</v>
      </c>
      <c r="N272" s="7">
        <f t="shared" si="31"/>
        <v>6.76359425431788</v>
      </c>
      <c r="O272" s="5">
        <f t="shared" si="32"/>
        <v>37428.32</v>
      </c>
      <c r="P272" s="8">
        <f t="shared" si="33"/>
        <v>85.2149617141567</v>
      </c>
      <c r="Q272" s="3" t="str">
        <f t="shared" si="34"/>
        <v>2025-03</v>
      </c>
    </row>
    <row r="273" customHeight="1" spans="1:17">
      <c r="A273" s="3" t="str">
        <f>Raw_Data!A273</f>
        <v>C0376</v>
      </c>
      <c r="B273" s="4">
        <f>Raw_Data!B273</f>
        <v>45743</v>
      </c>
      <c r="C273" s="3" t="str">
        <f>Raw_Data!C273</f>
        <v>Instagram</v>
      </c>
      <c r="D273" s="3" t="str">
        <f>Raw_Data!D273</f>
        <v>East</v>
      </c>
      <c r="E273" s="5">
        <f>Raw_Data!E273</f>
        <v>6856</v>
      </c>
      <c r="F273" s="5">
        <f>Raw_Data!F273</f>
        <v>5663.71</v>
      </c>
      <c r="G273" s="3">
        <f>Raw_Data!G273</f>
        <v>89044</v>
      </c>
      <c r="H273" s="3">
        <f>Raw_Data!H273</f>
        <v>2861</v>
      </c>
      <c r="I273" s="3">
        <f>Raw_Data!I273</f>
        <v>262</v>
      </c>
      <c r="J273" s="5">
        <f>Raw_Data!J273</f>
        <v>8450.44</v>
      </c>
      <c r="K273" s="6">
        <f t="shared" si="28"/>
        <v>0.03213018283096</v>
      </c>
      <c r="L273" s="5">
        <f t="shared" si="29"/>
        <v>1.97962600489339</v>
      </c>
      <c r="M273" s="5">
        <f t="shared" si="30"/>
        <v>21.617213740458</v>
      </c>
      <c r="N273" s="7">
        <f t="shared" si="31"/>
        <v>1.49203260760173</v>
      </c>
      <c r="O273" s="5">
        <f t="shared" si="32"/>
        <v>2786.73</v>
      </c>
      <c r="P273" s="8">
        <f t="shared" si="33"/>
        <v>32.9773360913751</v>
      </c>
      <c r="Q273" s="3" t="str">
        <f t="shared" si="34"/>
        <v>2025-03</v>
      </c>
    </row>
    <row r="274" customHeight="1" spans="1:17">
      <c r="A274" s="3" t="str">
        <f>Raw_Data!A274</f>
        <v>C0309</v>
      </c>
      <c r="B274" s="4">
        <f>Raw_Data!B274</f>
        <v>45743</v>
      </c>
      <c r="C274" s="3" t="str">
        <f>Raw_Data!C274</f>
        <v>Google Ads</v>
      </c>
      <c r="D274" s="3" t="str">
        <f>Raw_Data!D274</f>
        <v>East</v>
      </c>
      <c r="E274" s="5">
        <f>Raw_Data!E274</f>
        <v>5976.49</v>
      </c>
      <c r="F274" s="5">
        <f>Raw_Data!F274</f>
        <v>4821.48</v>
      </c>
      <c r="G274" s="3">
        <f>Raw_Data!G274</f>
        <v>80643</v>
      </c>
      <c r="H274" s="3">
        <f>Raw_Data!H274</f>
        <v>2915</v>
      </c>
      <c r="I274" s="3">
        <f>Raw_Data!I274</f>
        <v>337</v>
      </c>
      <c r="J274" s="5">
        <f>Raw_Data!J274</f>
        <v>9456.33</v>
      </c>
      <c r="K274" s="6">
        <f t="shared" si="28"/>
        <v>0.0361469687387622</v>
      </c>
      <c r="L274" s="5">
        <f t="shared" si="29"/>
        <v>1.65402401372213</v>
      </c>
      <c r="M274" s="5">
        <f t="shared" si="30"/>
        <v>14.3070623145401</v>
      </c>
      <c r="N274" s="7">
        <f t="shared" si="31"/>
        <v>1.96129196844123</v>
      </c>
      <c r="O274" s="5">
        <f t="shared" si="32"/>
        <v>4634.85</v>
      </c>
      <c r="P274" s="8">
        <f t="shared" si="33"/>
        <v>49.0132006814483</v>
      </c>
      <c r="Q274" s="3" t="str">
        <f t="shared" si="34"/>
        <v>2025-03</v>
      </c>
    </row>
    <row r="275" customHeight="1" spans="1:17">
      <c r="A275" s="3" t="str">
        <f>Raw_Data!A275</f>
        <v>C0011</v>
      </c>
      <c r="B275" s="4">
        <f>Raw_Data!B275</f>
        <v>45744</v>
      </c>
      <c r="C275" s="3" t="str">
        <f>Raw_Data!C275</f>
        <v>Twitter</v>
      </c>
      <c r="D275" s="3" t="str">
        <f>Raw_Data!D275</f>
        <v>North</v>
      </c>
      <c r="E275" s="5">
        <f>Raw_Data!E275</f>
        <v>7252.81</v>
      </c>
      <c r="F275" s="5">
        <f>Raw_Data!F275</f>
        <v>6173.28</v>
      </c>
      <c r="G275" s="3">
        <f>Raw_Data!G275</f>
        <v>195024</v>
      </c>
      <c r="H275" s="3">
        <f>Raw_Data!H275</f>
        <v>9701</v>
      </c>
      <c r="I275" s="3">
        <f>Raw_Data!I275</f>
        <v>801</v>
      </c>
      <c r="J275" s="5">
        <f>Raw_Data!J275</f>
        <v>17583.19</v>
      </c>
      <c r="K275" s="6">
        <f t="shared" si="28"/>
        <v>0.0497425957830831</v>
      </c>
      <c r="L275" s="5">
        <f t="shared" si="29"/>
        <v>0.636355014946913</v>
      </c>
      <c r="M275" s="5">
        <f t="shared" si="30"/>
        <v>7.70696629213483</v>
      </c>
      <c r="N275" s="7">
        <f t="shared" si="31"/>
        <v>2.8482735272011</v>
      </c>
      <c r="O275" s="5">
        <f t="shared" si="32"/>
        <v>11409.91</v>
      </c>
      <c r="P275" s="8">
        <f t="shared" si="33"/>
        <v>64.8910123817123</v>
      </c>
      <c r="Q275" s="3" t="str">
        <f t="shared" si="34"/>
        <v>2025-03</v>
      </c>
    </row>
    <row r="276" customHeight="1" spans="1:17">
      <c r="A276" s="3" t="str">
        <f>Raw_Data!A276</f>
        <v>C0419</v>
      </c>
      <c r="B276" s="4">
        <f>Raw_Data!B276</f>
        <v>45744</v>
      </c>
      <c r="C276" s="3" t="str">
        <f>Raw_Data!C276</f>
        <v>Facebook</v>
      </c>
      <c r="D276" s="3" t="str">
        <f>Raw_Data!D276</f>
        <v>North</v>
      </c>
      <c r="E276" s="5">
        <f>Raw_Data!E276</f>
        <v>7798.96</v>
      </c>
      <c r="F276" s="5">
        <f>Raw_Data!F276</f>
        <v>7245.95</v>
      </c>
      <c r="G276" s="3">
        <f>Raw_Data!G276</f>
        <v>108436</v>
      </c>
      <c r="H276" s="3">
        <f>Raw_Data!H276</f>
        <v>3545</v>
      </c>
      <c r="I276" s="3">
        <f>Raw_Data!I276</f>
        <v>81</v>
      </c>
      <c r="J276" s="5">
        <f>Raw_Data!J276</f>
        <v>2107.28</v>
      </c>
      <c r="K276" s="6">
        <f t="shared" si="28"/>
        <v>0.0326920948762404</v>
      </c>
      <c r="L276" s="5">
        <f t="shared" si="29"/>
        <v>2.04399153737659</v>
      </c>
      <c r="M276" s="5">
        <f t="shared" si="30"/>
        <v>89.4561728395062</v>
      </c>
      <c r="N276" s="7">
        <f t="shared" si="31"/>
        <v>0.290821769402218</v>
      </c>
      <c r="O276" s="5">
        <f t="shared" si="32"/>
        <v>-5138.67</v>
      </c>
      <c r="P276" s="8">
        <f t="shared" si="33"/>
        <v>-243.853213621351</v>
      </c>
      <c r="Q276" s="3" t="str">
        <f t="shared" si="34"/>
        <v>2025-03</v>
      </c>
    </row>
    <row r="277" customHeight="1" spans="1:17">
      <c r="A277" s="3" t="str">
        <f>Raw_Data!A277</f>
        <v>C0130</v>
      </c>
      <c r="B277" s="4">
        <f>Raw_Data!B277</f>
        <v>45744</v>
      </c>
      <c r="C277" s="3" t="str">
        <f>Raw_Data!C277</f>
        <v>Google Ads</v>
      </c>
      <c r="D277" s="3" t="str">
        <f>Raw_Data!D277</f>
        <v>North</v>
      </c>
      <c r="E277" s="5">
        <f>Raw_Data!E277</f>
        <v>4242.08</v>
      </c>
      <c r="F277" s="5">
        <f>Raw_Data!F277</f>
        <v>4348.91</v>
      </c>
      <c r="G277" s="3">
        <f>Raw_Data!G277</f>
        <v>199475</v>
      </c>
      <c r="H277" s="3">
        <f>Raw_Data!H277</f>
        <v>6783</v>
      </c>
      <c r="I277" s="3">
        <f>Raw_Data!I277</f>
        <v>258</v>
      </c>
      <c r="J277" s="5">
        <f>Raw_Data!J277</f>
        <v>11404.9</v>
      </c>
      <c r="K277" s="6">
        <f t="shared" si="28"/>
        <v>0.0340042611856122</v>
      </c>
      <c r="L277" s="5">
        <f t="shared" si="29"/>
        <v>0.641148459383754</v>
      </c>
      <c r="M277" s="5">
        <f t="shared" si="30"/>
        <v>16.8562403100775</v>
      </c>
      <c r="N277" s="7">
        <f t="shared" si="31"/>
        <v>2.6224732174269</v>
      </c>
      <c r="O277" s="5">
        <f t="shared" si="32"/>
        <v>7055.99</v>
      </c>
      <c r="P277" s="8">
        <f t="shared" si="33"/>
        <v>61.8680567124657</v>
      </c>
      <c r="Q277" s="3" t="str">
        <f t="shared" si="34"/>
        <v>2025-03</v>
      </c>
    </row>
    <row r="278" customHeight="1" spans="1:17">
      <c r="A278" s="3" t="str">
        <f>Raw_Data!A278</f>
        <v>C0221</v>
      </c>
      <c r="B278" s="4">
        <f>Raw_Data!B278</f>
        <v>45744</v>
      </c>
      <c r="C278" s="3" t="str">
        <f>Raw_Data!C278</f>
        <v>LinkedIn</v>
      </c>
      <c r="D278" s="3" t="str">
        <f>Raw_Data!D278</f>
        <v>South</v>
      </c>
      <c r="E278" s="5">
        <f>Raw_Data!E278</f>
        <v>5492.68</v>
      </c>
      <c r="F278" s="5">
        <f>Raw_Data!F278</f>
        <v>6019.73</v>
      </c>
      <c r="G278" s="3">
        <f>Raw_Data!G278</f>
        <v>186208</v>
      </c>
      <c r="H278" s="3">
        <f>Raw_Data!H278</f>
        <v>1504</v>
      </c>
      <c r="I278" s="3">
        <f>Raw_Data!I278</f>
        <v>92</v>
      </c>
      <c r="J278" s="5">
        <f>Raw_Data!J278</f>
        <v>3511.94</v>
      </c>
      <c r="K278" s="6">
        <f t="shared" si="28"/>
        <v>0.00807698917339749</v>
      </c>
      <c r="L278" s="5">
        <f t="shared" si="29"/>
        <v>4.00248005319149</v>
      </c>
      <c r="M278" s="5">
        <f t="shared" si="30"/>
        <v>65.431847826087</v>
      </c>
      <c r="N278" s="7">
        <f t="shared" si="31"/>
        <v>0.583404903542186</v>
      </c>
      <c r="O278" s="5">
        <f t="shared" si="32"/>
        <v>-2507.79</v>
      </c>
      <c r="P278" s="8">
        <f t="shared" si="33"/>
        <v>-71.4075411311127</v>
      </c>
      <c r="Q278" s="3" t="str">
        <f t="shared" si="34"/>
        <v>2025-03</v>
      </c>
    </row>
    <row r="279" customHeight="1" spans="1:17">
      <c r="A279" s="3" t="str">
        <f>Raw_Data!A279</f>
        <v>C0351</v>
      </c>
      <c r="B279" s="4">
        <f>Raw_Data!B279</f>
        <v>45745</v>
      </c>
      <c r="C279" s="3" t="str">
        <f>Raw_Data!C279</f>
        <v>Instagram</v>
      </c>
      <c r="D279" s="3" t="str">
        <f>Raw_Data!D279</f>
        <v>East</v>
      </c>
      <c r="E279" s="5">
        <f>Raw_Data!E279</f>
        <v>9122.91</v>
      </c>
      <c r="F279" s="5">
        <f>Raw_Data!F279</f>
        <v>8745.96</v>
      </c>
      <c r="G279" s="3">
        <f>Raw_Data!G279</f>
        <v>195707</v>
      </c>
      <c r="H279" s="3">
        <f>Raw_Data!H279</f>
        <v>8454</v>
      </c>
      <c r="I279" s="3">
        <f>Raw_Data!I279</f>
        <v>371</v>
      </c>
      <c r="J279" s="5">
        <f>Raw_Data!J279</f>
        <v>17871.82</v>
      </c>
      <c r="K279" s="6">
        <f t="shared" si="28"/>
        <v>0.0431972285099664</v>
      </c>
      <c r="L279" s="5">
        <f t="shared" si="29"/>
        <v>1.03453513129879</v>
      </c>
      <c r="M279" s="5">
        <f t="shared" si="30"/>
        <v>23.5740161725067</v>
      </c>
      <c r="N279" s="7">
        <f t="shared" si="31"/>
        <v>2.04343719843219</v>
      </c>
      <c r="O279" s="5">
        <f t="shared" si="32"/>
        <v>9125.86</v>
      </c>
      <c r="P279" s="8">
        <f t="shared" si="33"/>
        <v>51.0628464252662</v>
      </c>
      <c r="Q279" s="3" t="str">
        <f t="shared" si="34"/>
        <v>2025-03</v>
      </c>
    </row>
    <row r="280" customHeight="1" spans="1:17">
      <c r="A280" s="3" t="str">
        <f>Raw_Data!A280</f>
        <v>C0305</v>
      </c>
      <c r="B280" s="4">
        <f>Raw_Data!B280</f>
        <v>45745</v>
      </c>
      <c r="C280" s="3" t="str">
        <f>Raw_Data!C280</f>
        <v>Facebook</v>
      </c>
      <c r="D280" s="3" t="str">
        <f>Raw_Data!D280</f>
        <v>West</v>
      </c>
      <c r="E280" s="5">
        <f>Raw_Data!E280</f>
        <v>7369.04</v>
      </c>
      <c r="F280" s="5">
        <f>Raw_Data!F280</f>
        <v>6800.32</v>
      </c>
      <c r="G280" s="3">
        <f>Raw_Data!G280</f>
        <v>171377</v>
      </c>
      <c r="H280" s="3">
        <f>Raw_Data!H280</f>
        <v>4129</v>
      </c>
      <c r="I280" s="3">
        <f>Raw_Data!I280</f>
        <v>453</v>
      </c>
      <c r="J280" s="5">
        <f>Raw_Data!J280</f>
        <v>16562.32</v>
      </c>
      <c r="K280" s="6">
        <f t="shared" si="28"/>
        <v>0.0240930813353017</v>
      </c>
      <c r="L280" s="5">
        <f t="shared" si="29"/>
        <v>1.64696536691693</v>
      </c>
      <c r="M280" s="5">
        <f t="shared" si="30"/>
        <v>15.0117439293598</v>
      </c>
      <c r="N280" s="7">
        <f t="shared" si="31"/>
        <v>2.4355206813797</v>
      </c>
      <c r="O280" s="5">
        <f t="shared" si="32"/>
        <v>9762</v>
      </c>
      <c r="P280" s="8">
        <f t="shared" si="33"/>
        <v>58.941017925025</v>
      </c>
      <c r="Q280" s="3" t="str">
        <f t="shared" si="34"/>
        <v>2025-03</v>
      </c>
    </row>
    <row r="281" customHeight="1" spans="1:17">
      <c r="A281" s="3" t="str">
        <f>Raw_Data!A281</f>
        <v>C0125</v>
      </c>
      <c r="B281" s="4">
        <f>Raw_Data!B281</f>
        <v>45746</v>
      </c>
      <c r="C281" s="3" t="str">
        <f>Raw_Data!C281</f>
        <v>Google Ads</v>
      </c>
      <c r="D281" s="3" t="str">
        <f>Raw_Data!D281</f>
        <v>West</v>
      </c>
      <c r="E281" s="5">
        <f>Raw_Data!E281</f>
        <v>3661.1</v>
      </c>
      <c r="F281" s="5">
        <f>Raw_Data!F281</f>
        <v>3679.05</v>
      </c>
      <c r="G281" s="3">
        <f>Raw_Data!G281</f>
        <v>163376</v>
      </c>
      <c r="H281" s="3">
        <f>Raw_Data!H281</f>
        <v>7011</v>
      </c>
      <c r="I281" s="3">
        <f>Raw_Data!I281</f>
        <v>514</v>
      </c>
      <c r="J281" s="5">
        <f>Raw_Data!J281</f>
        <v>11377.73</v>
      </c>
      <c r="K281" s="6">
        <f t="shared" si="28"/>
        <v>0.0429132797962981</v>
      </c>
      <c r="L281" s="5">
        <f t="shared" si="29"/>
        <v>0.524753958065896</v>
      </c>
      <c r="M281" s="5">
        <f t="shared" si="30"/>
        <v>7.15768482490272</v>
      </c>
      <c r="N281" s="7">
        <f t="shared" si="31"/>
        <v>3.09257281091586</v>
      </c>
      <c r="O281" s="5">
        <f t="shared" si="32"/>
        <v>7698.68</v>
      </c>
      <c r="P281" s="8">
        <f t="shared" si="33"/>
        <v>67.6644638253852</v>
      </c>
      <c r="Q281" s="3" t="str">
        <f t="shared" si="34"/>
        <v>2025-03</v>
      </c>
    </row>
    <row r="282" customHeight="1" spans="1:17">
      <c r="A282" s="3" t="str">
        <f>Raw_Data!A282</f>
        <v>C0007</v>
      </c>
      <c r="B282" s="4">
        <f>Raw_Data!B282</f>
        <v>45746</v>
      </c>
      <c r="C282" s="3" t="str">
        <f>Raw_Data!C282</f>
        <v>Twitter</v>
      </c>
      <c r="D282" s="3" t="str">
        <f>Raw_Data!D282</f>
        <v>North</v>
      </c>
      <c r="E282" s="5">
        <f>Raw_Data!E282</f>
        <v>6023.62</v>
      </c>
      <c r="F282" s="5">
        <f>Raw_Data!F282</f>
        <v>5345.17</v>
      </c>
      <c r="G282" s="3">
        <f>Raw_Data!G282</f>
        <v>72336</v>
      </c>
      <c r="H282" s="3">
        <f>Raw_Data!H282</f>
        <v>1340</v>
      </c>
      <c r="I282" s="3">
        <f>Raw_Data!I282</f>
        <v>236</v>
      </c>
      <c r="J282" s="5">
        <f>Raw_Data!J282</f>
        <v>9051.92</v>
      </c>
      <c r="K282" s="6">
        <f t="shared" si="28"/>
        <v>0.0185246626852466</v>
      </c>
      <c r="L282" s="5">
        <f t="shared" si="29"/>
        <v>3.9889328358209</v>
      </c>
      <c r="M282" s="5">
        <f t="shared" si="30"/>
        <v>22.6490254237288</v>
      </c>
      <c r="N282" s="7">
        <f t="shared" si="31"/>
        <v>1.69347654050292</v>
      </c>
      <c r="O282" s="5">
        <f t="shared" si="32"/>
        <v>3706.75</v>
      </c>
      <c r="P282" s="8">
        <f t="shared" si="33"/>
        <v>40.9498758274488</v>
      </c>
      <c r="Q282" s="3" t="str">
        <f t="shared" si="34"/>
        <v>2025-03</v>
      </c>
    </row>
    <row r="283" customHeight="1" spans="1:17">
      <c r="A283" s="3" t="str">
        <f>Raw_Data!A283</f>
        <v>C0211</v>
      </c>
      <c r="B283" s="4">
        <f>Raw_Data!B283</f>
        <v>45746</v>
      </c>
      <c r="C283" s="3" t="str">
        <f>Raw_Data!C283</f>
        <v>LinkedIn</v>
      </c>
      <c r="D283" s="3" t="str">
        <f>Raw_Data!D283</f>
        <v>South</v>
      </c>
      <c r="E283" s="5">
        <f>Raw_Data!E283</f>
        <v>7993.45</v>
      </c>
      <c r="F283" s="5">
        <f>Raw_Data!F283</f>
        <v>8541.5</v>
      </c>
      <c r="G283" s="3">
        <f>Raw_Data!G283</f>
        <v>191329</v>
      </c>
      <c r="H283" s="3">
        <f>Raw_Data!H283</f>
        <v>5806</v>
      </c>
      <c r="I283" s="3">
        <f>Raw_Data!I283</f>
        <v>454</v>
      </c>
      <c r="J283" s="5">
        <f>Raw_Data!J283</f>
        <v>16049.05</v>
      </c>
      <c r="K283" s="6">
        <f t="shared" si="28"/>
        <v>0.0303456350056709</v>
      </c>
      <c r="L283" s="5">
        <f t="shared" si="29"/>
        <v>1.47115053393042</v>
      </c>
      <c r="M283" s="5">
        <f t="shared" si="30"/>
        <v>18.8138766519824</v>
      </c>
      <c r="N283" s="7">
        <f t="shared" si="31"/>
        <v>1.87894983316748</v>
      </c>
      <c r="O283" s="5">
        <f t="shared" si="32"/>
        <v>7507.55</v>
      </c>
      <c r="P283" s="8">
        <f t="shared" si="33"/>
        <v>46.7787812985815</v>
      </c>
      <c r="Q283" s="3" t="str">
        <f t="shared" si="34"/>
        <v>2025-03</v>
      </c>
    </row>
    <row r="284" customHeight="1" spans="1:17">
      <c r="A284" s="3" t="str">
        <f>Raw_Data!A284</f>
        <v>C0326</v>
      </c>
      <c r="B284" s="4">
        <f>Raw_Data!B284</f>
        <v>45747</v>
      </c>
      <c r="C284" s="3" t="str">
        <f>Raw_Data!C284</f>
        <v>Twitter</v>
      </c>
      <c r="D284" s="3" t="str">
        <f>Raw_Data!D284</f>
        <v>South</v>
      </c>
      <c r="E284" s="5">
        <f>Raw_Data!E284</f>
        <v>4835.85</v>
      </c>
      <c r="F284" s="5">
        <f>Raw_Data!F284</f>
        <v>4731.99</v>
      </c>
      <c r="G284" s="3">
        <f>Raw_Data!G284</f>
        <v>115212</v>
      </c>
      <c r="H284" s="3">
        <f>Raw_Data!H284</f>
        <v>2331</v>
      </c>
      <c r="I284" s="3">
        <f>Raw_Data!I284</f>
        <v>196</v>
      </c>
      <c r="J284" s="5">
        <f>Raw_Data!J284</f>
        <v>4222.38</v>
      </c>
      <c r="K284" s="6">
        <f t="shared" si="28"/>
        <v>0.0202322674721383</v>
      </c>
      <c r="L284" s="5">
        <f t="shared" si="29"/>
        <v>2.03002574002574</v>
      </c>
      <c r="M284" s="5">
        <f t="shared" si="30"/>
        <v>24.142806122449</v>
      </c>
      <c r="N284" s="7">
        <f t="shared" si="31"/>
        <v>0.892305351448334</v>
      </c>
      <c r="O284" s="5">
        <f t="shared" si="32"/>
        <v>-509.61</v>
      </c>
      <c r="P284" s="8">
        <f t="shared" si="33"/>
        <v>-12.0692595171444</v>
      </c>
      <c r="Q284" s="3" t="str">
        <f t="shared" si="34"/>
        <v>2025-03</v>
      </c>
    </row>
    <row r="285" customHeight="1" spans="1:17">
      <c r="A285" s="3" t="str">
        <f>Raw_Data!A285</f>
        <v>C0193</v>
      </c>
      <c r="B285" s="4">
        <f>Raw_Data!B285</f>
        <v>45747</v>
      </c>
      <c r="C285" s="3" t="str">
        <f>Raw_Data!C285</f>
        <v>Twitter</v>
      </c>
      <c r="D285" s="3" t="str">
        <f>Raw_Data!D285</f>
        <v>West</v>
      </c>
      <c r="E285" s="5">
        <f>Raw_Data!E285</f>
        <v>4029.51</v>
      </c>
      <c r="F285" s="5">
        <f>Raw_Data!F285</f>
        <v>4343.72</v>
      </c>
      <c r="G285" s="3">
        <f>Raw_Data!G285</f>
        <v>85573</v>
      </c>
      <c r="H285" s="3">
        <f>Raw_Data!H285</f>
        <v>1887</v>
      </c>
      <c r="I285" s="3">
        <f>Raw_Data!I285</f>
        <v>171</v>
      </c>
      <c r="J285" s="5">
        <f>Raw_Data!J285</f>
        <v>5944.56</v>
      </c>
      <c r="K285" s="6">
        <f t="shared" si="28"/>
        <v>0.022051347971907</v>
      </c>
      <c r="L285" s="5">
        <f t="shared" si="29"/>
        <v>2.30191838897721</v>
      </c>
      <c r="M285" s="5">
        <f t="shared" si="30"/>
        <v>25.4018713450292</v>
      </c>
      <c r="N285" s="7">
        <f t="shared" si="31"/>
        <v>1.36854125035684</v>
      </c>
      <c r="O285" s="5">
        <f t="shared" si="32"/>
        <v>1600.84</v>
      </c>
      <c r="P285" s="8">
        <f t="shared" si="33"/>
        <v>26.9294952023363</v>
      </c>
      <c r="Q285" s="3" t="str">
        <f t="shared" si="34"/>
        <v>2025-03</v>
      </c>
    </row>
    <row r="286" customHeight="1" spans="1:17">
      <c r="A286" s="3" t="str">
        <f>Raw_Data!A286</f>
        <v>C0368</v>
      </c>
      <c r="B286" s="4">
        <f>Raw_Data!B286</f>
        <v>45747</v>
      </c>
      <c r="C286" s="3" t="str">
        <f>Raw_Data!C286</f>
        <v>LinkedIn</v>
      </c>
      <c r="D286" s="3" t="str">
        <f>Raw_Data!D286</f>
        <v>East</v>
      </c>
      <c r="E286" s="5">
        <f>Raw_Data!E286</f>
        <v>9783.72</v>
      </c>
      <c r="F286" s="5">
        <f>Raw_Data!F286</f>
        <v>10420.99</v>
      </c>
      <c r="G286" s="3">
        <f>Raw_Data!G286</f>
        <v>127993</v>
      </c>
      <c r="H286" s="3">
        <f>Raw_Data!H286</f>
        <v>3954</v>
      </c>
      <c r="I286" s="3">
        <f>Raw_Data!I286</f>
        <v>611</v>
      </c>
      <c r="J286" s="5">
        <f>Raw_Data!J286</f>
        <v>29225.7</v>
      </c>
      <c r="K286" s="6">
        <f t="shared" si="28"/>
        <v>0.030892314423445</v>
      </c>
      <c r="L286" s="5">
        <f t="shared" si="29"/>
        <v>2.63555639858371</v>
      </c>
      <c r="M286" s="5">
        <f t="shared" si="30"/>
        <v>17.0556301145663</v>
      </c>
      <c r="N286" s="7">
        <f t="shared" si="31"/>
        <v>2.80450321898399</v>
      </c>
      <c r="O286" s="5">
        <f t="shared" si="32"/>
        <v>18804.71</v>
      </c>
      <c r="P286" s="8">
        <f t="shared" si="33"/>
        <v>64.3430610729598</v>
      </c>
      <c r="Q286" s="3" t="str">
        <f t="shared" si="34"/>
        <v>2025-03</v>
      </c>
    </row>
    <row r="287" customHeight="1" spans="1:17">
      <c r="A287" s="3" t="str">
        <f>Raw_Data!A287</f>
        <v>C0060</v>
      </c>
      <c r="B287" s="4">
        <f>Raw_Data!B287</f>
        <v>45747</v>
      </c>
      <c r="C287" s="3" t="str">
        <f>Raw_Data!C287</f>
        <v>LinkedIn</v>
      </c>
      <c r="D287" s="3" t="str">
        <f>Raw_Data!D287</f>
        <v>North</v>
      </c>
      <c r="E287" s="5">
        <f>Raw_Data!E287</f>
        <v>5707.15</v>
      </c>
      <c r="F287" s="5">
        <f>Raw_Data!F287</f>
        <v>6169.54</v>
      </c>
      <c r="G287" s="3">
        <f>Raw_Data!G287</f>
        <v>121778</v>
      </c>
      <c r="H287" s="3">
        <f>Raw_Data!H287</f>
        <v>2381</v>
      </c>
      <c r="I287" s="3">
        <f>Raw_Data!I287</f>
        <v>316</v>
      </c>
      <c r="J287" s="5">
        <f>Raw_Data!J287</f>
        <v>7623.7</v>
      </c>
      <c r="K287" s="6">
        <f t="shared" si="28"/>
        <v>0.0195519716204897</v>
      </c>
      <c r="L287" s="5">
        <f t="shared" si="29"/>
        <v>2.59115497690046</v>
      </c>
      <c r="M287" s="5">
        <f t="shared" si="30"/>
        <v>19.5238607594937</v>
      </c>
      <c r="N287" s="7">
        <f t="shared" si="31"/>
        <v>1.23569990631392</v>
      </c>
      <c r="O287" s="5">
        <f t="shared" si="32"/>
        <v>1454.16</v>
      </c>
      <c r="P287" s="8">
        <f t="shared" si="33"/>
        <v>19.0742028149061</v>
      </c>
      <c r="Q287" s="3" t="str">
        <f t="shared" si="34"/>
        <v>2025-03</v>
      </c>
    </row>
    <row r="288" customHeight="1" spans="1:17">
      <c r="A288" s="3" t="str">
        <f>Raw_Data!A288</f>
        <v>C0433</v>
      </c>
      <c r="B288" s="4">
        <f>Raw_Data!B288</f>
        <v>45748</v>
      </c>
      <c r="C288" s="3" t="str">
        <f>Raw_Data!C288</f>
        <v>Google Ads</v>
      </c>
      <c r="D288" s="3" t="str">
        <f>Raw_Data!D288</f>
        <v>South</v>
      </c>
      <c r="E288" s="5">
        <f>Raw_Data!E288</f>
        <v>4172.38</v>
      </c>
      <c r="F288" s="5">
        <f>Raw_Data!F288</f>
        <v>3468.79</v>
      </c>
      <c r="G288" s="3">
        <f>Raw_Data!G288</f>
        <v>143614</v>
      </c>
      <c r="H288" s="3">
        <f>Raw_Data!H288</f>
        <v>4002</v>
      </c>
      <c r="I288" s="3">
        <f>Raw_Data!I288</f>
        <v>362</v>
      </c>
      <c r="J288" s="5">
        <f>Raw_Data!J288</f>
        <v>14151.63</v>
      </c>
      <c r="K288" s="6">
        <f t="shared" si="28"/>
        <v>0.0278663640035094</v>
      </c>
      <c r="L288" s="5">
        <f t="shared" si="29"/>
        <v>0.866764117941029</v>
      </c>
      <c r="M288" s="5">
        <f t="shared" si="30"/>
        <v>9.58229281767956</v>
      </c>
      <c r="N288" s="7">
        <f t="shared" si="31"/>
        <v>4.07970214397528</v>
      </c>
      <c r="O288" s="5">
        <f t="shared" si="32"/>
        <v>10682.84</v>
      </c>
      <c r="P288" s="8">
        <f t="shared" si="33"/>
        <v>75.4884066358434</v>
      </c>
      <c r="Q288" s="3" t="str">
        <f t="shared" si="34"/>
        <v>2025-04</v>
      </c>
    </row>
    <row r="289" customHeight="1" spans="1:17">
      <c r="A289" s="3" t="str">
        <f>Raw_Data!A289</f>
        <v>C0040</v>
      </c>
      <c r="B289" s="4">
        <f>Raw_Data!B289</f>
        <v>45748</v>
      </c>
      <c r="C289" s="3" t="str">
        <f>Raw_Data!C289</f>
        <v>Twitter</v>
      </c>
      <c r="D289" s="3" t="str">
        <f>Raw_Data!D289</f>
        <v>North</v>
      </c>
      <c r="E289" s="5">
        <f>Raw_Data!E289</f>
        <v>4305.99</v>
      </c>
      <c r="F289" s="5">
        <f>Raw_Data!F289</f>
        <v>4597.8</v>
      </c>
      <c r="G289" s="3">
        <f>Raw_Data!G289</f>
        <v>74753</v>
      </c>
      <c r="H289" s="3">
        <f>Raw_Data!H289</f>
        <v>1230</v>
      </c>
      <c r="I289" s="3">
        <f>Raw_Data!I289</f>
        <v>234</v>
      </c>
      <c r="J289" s="5">
        <f>Raw_Data!J289</f>
        <v>8466.18</v>
      </c>
      <c r="K289" s="6">
        <f t="shared" si="28"/>
        <v>0.0164541891295333</v>
      </c>
      <c r="L289" s="5">
        <f t="shared" si="29"/>
        <v>3.7380487804878</v>
      </c>
      <c r="M289" s="5">
        <f t="shared" si="30"/>
        <v>19.6487179487179</v>
      </c>
      <c r="N289" s="7">
        <f t="shared" si="31"/>
        <v>1.84135456087694</v>
      </c>
      <c r="O289" s="5">
        <f t="shared" si="32"/>
        <v>3868.38</v>
      </c>
      <c r="P289" s="8">
        <f t="shared" si="33"/>
        <v>45.6921539584559</v>
      </c>
      <c r="Q289" s="3" t="str">
        <f t="shared" si="34"/>
        <v>2025-04</v>
      </c>
    </row>
    <row r="290" customHeight="1" spans="1:17">
      <c r="A290" s="3" t="str">
        <f>Raw_Data!A290</f>
        <v>C0266</v>
      </c>
      <c r="B290" s="4">
        <f>Raw_Data!B290</f>
        <v>45748</v>
      </c>
      <c r="C290" s="3" t="str">
        <f>Raw_Data!C290</f>
        <v>LinkedIn</v>
      </c>
      <c r="D290" s="3" t="str">
        <f>Raw_Data!D290</f>
        <v>North</v>
      </c>
      <c r="E290" s="5">
        <f>Raw_Data!E290</f>
        <v>9104.87</v>
      </c>
      <c r="F290" s="5">
        <f>Raw_Data!F290</f>
        <v>9829.94</v>
      </c>
      <c r="G290" s="3">
        <f>Raw_Data!G290</f>
        <v>155035</v>
      </c>
      <c r="H290" s="3">
        <f>Raw_Data!H290</f>
        <v>4402</v>
      </c>
      <c r="I290" s="3">
        <f>Raw_Data!I290</f>
        <v>390</v>
      </c>
      <c r="J290" s="5">
        <f>Raw_Data!J290</f>
        <v>14412.06</v>
      </c>
      <c r="K290" s="6">
        <f t="shared" si="28"/>
        <v>0.0283935885445222</v>
      </c>
      <c r="L290" s="5">
        <f t="shared" si="29"/>
        <v>2.23306224443435</v>
      </c>
      <c r="M290" s="5">
        <f t="shared" si="30"/>
        <v>25.2049743589744</v>
      </c>
      <c r="N290" s="7">
        <f t="shared" si="31"/>
        <v>1.46613916259916</v>
      </c>
      <c r="O290" s="5">
        <f t="shared" si="32"/>
        <v>4582.12</v>
      </c>
      <c r="P290" s="8">
        <f t="shared" si="33"/>
        <v>31.7936505954041</v>
      </c>
      <c r="Q290" s="3" t="str">
        <f t="shared" si="34"/>
        <v>2025-04</v>
      </c>
    </row>
    <row r="291" customHeight="1" spans="1:17">
      <c r="A291" s="3" t="str">
        <f>Raw_Data!A291</f>
        <v>C0417</v>
      </c>
      <c r="B291" s="4">
        <f>Raw_Data!B291</f>
        <v>45748</v>
      </c>
      <c r="C291" s="3" t="str">
        <f>Raw_Data!C291</f>
        <v>LinkedIn</v>
      </c>
      <c r="D291" s="3" t="str">
        <f>Raw_Data!D291</f>
        <v>West</v>
      </c>
      <c r="E291" s="5">
        <f>Raw_Data!E291</f>
        <v>9445.93</v>
      </c>
      <c r="F291" s="5">
        <f>Raw_Data!F291</f>
        <v>9304.19</v>
      </c>
      <c r="G291" s="3">
        <f>Raw_Data!G291</f>
        <v>70743</v>
      </c>
      <c r="H291" s="3">
        <f>Raw_Data!H291</f>
        <v>1210</v>
      </c>
      <c r="I291" s="3">
        <f>Raw_Data!I291</f>
        <v>52</v>
      </c>
      <c r="J291" s="5">
        <f>Raw_Data!J291</f>
        <v>2282.6</v>
      </c>
      <c r="K291" s="6">
        <f t="shared" si="28"/>
        <v>0.017104165783187</v>
      </c>
      <c r="L291" s="5">
        <f t="shared" si="29"/>
        <v>7.6894132231405</v>
      </c>
      <c r="M291" s="5">
        <f t="shared" si="30"/>
        <v>178.926730769231</v>
      </c>
      <c r="N291" s="7">
        <f t="shared" si="31"/>
        <v>0.245330329668676</v>
      </c>
      <c r="O291" s="5">
        <f t="shared" si="32"/>
        <v>-7021.59</v>
      </c>
      <c r="P291" s="8">
        <f t="shared" si="33"/>
        <v>-307.613686147376</v>
      </c>
      <c r="Q291" s="3" t="str">
        <f t="shared" si="34"/>
        <v>2025-04</v>
      </c>
    </row>
    <row r="292" customHeight="1" spans="1:17">
      <c r="A292" s="3" t="str">
        <f>Raw_Data!A292</f>
        <v>C0235</v>
      </c>
      <c r="B292" s="4">
        <f>Raw_Data!B292</f>
        <v>45749</v>
      </c>
      <c r="C292" s="3" t="str">
        <f>Raw_Data!C292</f>
        <v>Instagram</v>
      </c>
      <c r="D292" s="3" t="str">
        <f>Raw_Data!D292</f>
        <v>East</v>
      </c>
      <c r="E292" s="5">
        <f>Raw_Data!E292</f>
        <v>5356.23</v>
      </c>
      <c r="F292" s="5">
        <f>Raw_Data!F292</f>
        <v>4500.97</v>
      </c>
      <c r="G292" s="3">
        <f>Raw_Data!G292</f>
        <v>65992</v>
      </c>
      <c r="H292" s="3">
        <f>Raw_Data!H292</f>
        <v>3184</v>
      </c>
      <c r="I292" s="3">
        <f>Raw_Data!I292</f>
        <v>311</v>
      </c>
      <c r="J292" s="5">
        <f>Raw_Data!J292</f>
        <v>6811.29</v>
      </c>
      <c r="K292" s="6">
        <f t="shared" si="28"/>
        <v>0.048248272517881</v>
      </c>
      <c r="L292" s="5">
        <f t="shared" si="29"/>
        <v>1.41362123115578</v>
      </c>
      <c r="M292" s="5">
        <f t="shared" si="30"/>
        <v>14.4725723472669</v>
      </c>
      <c r="N292" s="7">
        <f t="shared" si="31"/>
        <v>1.51329380111398</v>
      </c>
      <c r="O292" s="5">
        <f t="shared" si="32"/>
        <v>2310.32</v>
      </c>
      <c r="P292" s="8">
        <f t="shared" si="33"/>
        <v>33.9189786369395</v>
      </c>
      <c r="Q292" s="3" t="str">
        <f t="shared" si="34"/>
        <v>2025-04</v>
      </c>
    </row>
    <row r="293" customHeight="1" spans="1:17">
      <c r="A293" s="3" t="str">
        <f>Raw_Data!A293</f>
        <v>C0454</v>
      </c>
      <c r="B293" s="4">
        <f>Raw_Data!B293</f>
        <v>45750</v>
      </c>
      <c r="C293" s="3" t="str">
        <f>Raw_Data!C293</f>
        <v>Google Ads</v>
      </c>
      <c r="D293" s="3" t="str">
        <f>Raw_Data!D293</f>
        <v>South</v>
      </c>
      <c r="E293" s="5">
        <f>Raw_Data!E293</f>
        <v>7146.45</v>
      </c>
      <c r="F293" s="5">
        <f>Raw_Data!F293</f>
        <v>7673.21</v>
      </c>
      <c r="G293" s="3">
        <f>Raw_Data!G293</f>
        <v>96745</v>
      </c>
      <c r="H293" s="3">
        <f>Raw_Data!H293</f>
        <v>2886</v>
      </c>
      <c r="I293" s="3">
        <f>Raw_Data!I293</f>
        <v>402</v>
      </c>
      <c r="J293" s="5">
        <f>Raw_Data!J293</f>
        <v>10580.59</v>
      </c>
      <c r="K293" s="6">
        <f t="shared" si="28"/>
        <v>0.0298309990180371</v>
      </c>
      <c r="L293" s="5">
        <f t="shared" si="29"/>
        <v>2.65876992376992</v>
      </c>
      <c r="M293" s="5">
        <f t="shared" si="30"/>
        <v>19.0875870646766</v>
      </c>
      <c r="N293" s="7">
        <f t="shared" si="31"/>
        <v>1.37890009526652</v>
      </c>
      <c r="O293" s="5">
        <f t="shared" si="32"/>
        <v>2907.38</v>
      </c>
      <c r="P293" s="8">
        <f t="shared" si="33"/>
        <v>27.4784298418141</v>
      </c>
      <c r="Q293" s="3" t="str">
        <f t="shared" si="34"/>
        <v>2025-04</v>
      </c>
    </row>
    <row r="294" customHeight="1" spans="1:17">
      <c r="A294" s="3" t="str">
        <f>Raw_Data!A294</f>
        <v>C0010</v>
      </c>
      <c r="B294" s="4">
        <f>Raw_Data!B294</f>
        <v>45751</v>
      </c>
      <c r="C294" s="3" t="str">
        <f>Raw_Data!C294</f>
        <v>Twitter</v>
      </c>
      <c r="D294" s="3" t="str">
        <f>Raw_Data!D294</f>
        <v>South</v>
      </c>
      <c r="E294" s="5">
        <f>Raw_Data!E294</f>
        <v>6599.64</v>
      </c>
      <c r="F294" s="5">
        <f>Raw_Data!F294</f>
        <v>6452.63</v>
      </c>
      <c r="G294" s="3">
        <f>Raw_Data!G294</f>
        <v>185980</v>
      </c>
      <c r="H294" s="3">
        <f>Raw_Data!H294</f>
        <v>5168</v>
      </c>
      <c r="I294" s="3">
        <f>Raw_Data!I294</f>
        <v>68</v>
      </c>
      <c r="J294" s="5">
        <f>Raw_Data!J294</f>
        <v>1454.76</v>
      </c>
      <c r="K294" s="6">
        <f t="shared" si="28"/>
        <v>0.0277879341864717</v>
      </c>
      <c r="L294" s="5">
        <f t="shared" si="29"/>
        <v>1.24857391640867</v>
      </c>
      <c r="M294" s="5">
        <f t="shared" si="30"/>
        <v>94.8916176470588</v>
      </c>
      <c r="N294" s="7">
        <f t="shared" si="31"/>
        <v>0.225452257451613</v>
      </c>
      <c r="O294" s="5">
        <f t="shared" si="32"/>
        <v>-4997.87</v>
      </c>
      <c r="P294" s="8">
        <f t="shared" si="33"/>
        <v>-343.552888448954</v>
      </c>
      <c r="Q294" s="3" t="str">
        <f t="shared" si="34"/>
        <v>2025-04</v>
      </c>
    </row>
    <row r="295" customHeight="1" spans="1:17">
      <c r="A295" s="3" t="str">
        <f>Raw_Data!A295</f>
        <v>C0224</v>
      </c>
      <c r="B295" s="4">
        <f>Raw_Data!B295</f>
        <v>45751</v>
      </c>
      <c r="C295" s="3" t="str">
        <f>Raw_Data!C295</f>
        <v>Facebook</v>
      </c>
      <c r="D295" s="3" t="str">
        <f>Raw_Data!D295</f>
        <v>South</v>
      </c>
      <c r="E295" s="5">
        <f>Raw_Data!E295</f>
        <v>4995.67</v>
      </c>
      <c r="F295" s="5">
        <f>Raw_Data!F295</f>
        <v>4256.37</v>
      </c>
      <c r="G295" s="3">
        <f>Raw_Data!G295</f>
        <v>198805</v>
      </c>
      <c r="H295" s="3">
        <f>Raw_Data!H295</f>
        <v>7934</v>
      </c>
      <c r="I295" s="3">
        <f>Raw_Data!I295</f>
        <v>818</v>
      </c>
      <c r="J295" s="5">
        <f>Raw_Data!J295</f>
        <v>38366.62</v>
      </c>
      <c r="K295" s="6">
        <f t="shared" si="28"/>
        <v>0.0399084530067151</v>
      </c>
      <c r="L295" s="5">
        <f t="shared" si="29"/>
        <v>0.536472145197883</v>
      </c>
      <c r="M295" s="5">
        <f t="shared" si="30"/>
        <v>5.20338630806846</v>
      </c>
      <c r="N295" s="7">
        <f t="shared" si="31"/>
        <v>9.0139297100581</v>
      </c>
      <c r="O295" s="5">
        <f t="shared" si="32"/>
        <v>34110.25</v>
      </c>
      <c r="P295" s="8">
        <f t="shared" si="33"/>
        <v>88.9060594860845</v>
      </c>
      <c r="Q295" s="3" t="str">
        <f t="shared" si="34"/>
        <v>2025-04</v>
      </c>
    </row>
    <row r="296" customHeight="1" spans="1:17">
      <c r="A296" s="3" t="str">
        <f>Raw_Data!A296</f>
        <v>C0003</v>
      </c>
      <c r="B296" s="4">
        <f>Raw_Data!B296</f>
        <v>45751</v>
      </c>
      <c r="C296" s="3" t="str">
        <f>Raw_Data!C296</f>
        <v>Facebook</v>
      </c>
      <c r="D296" s="3" t="str">
        <f>Raw_Data!D296</f>
        <v>North</v>
      </c>
      <c r="E296" s="5">
        <f>Raw_Data!E296</f>
        <v>3406.59</v>
      </c>
      <c r="F296" s="5">
        <f>Raw_Data!F296</f>
        <v>3610.48</v>
      </c>
      <c r="G296" s="3">
        <f>Raw_Data!G296</f>
        <v>113908</v>
      </c>
      <c r="H296" s="3">
        <f>Raw_Data!H296</f>
        <v>5345</v>
      </c>
      <c r="I296" s="3">
        <f>Raw_Data!I296</f>
        <v>1004</v>
      </c>
      <c r="J296" s="5">
        <f>Raw_Data!J296</f>
        <v>38185.58</v>
      </c>
      <c r="K296" s="6">
        <f t="shared" si="28"/>
        <v>0.0469238332689539</v>
      </c>
      <c r="L296" s="5">
        <f t="shared" si="29"/>
        <v>0.675487371375117</v>
      </c>
      <c r="M296" s="5">
        <f t="shared" si="30"/>
        <v>3.59609561752988</v>
      </c>
      <c r="N296" s="7">
        <f t="shared" si="31"/>
        <v>10.5763167224303</v>
      </c>
      <c r="O296" s="5">
        <f t="shared" si="32"/>
        <v>34575.1</v>
      </c>
      <c r="P296" s="8">
        <f t="shared" si="33"/>
        <v>90.5449125036205</v>
      </c>
      <c r="Q296" s="3" t="str">
        <f t="shared" si="34"/>
        <v>2025-04</v>
      </c>
    </row>
    <row r="297" customHeight="1" spans="1:17">
      <c r="A297" s="3" t="str">
        <f>Raw_Data!A297</f>
        <v>C0385</v>
      </c>
      <c r="B297" s="4">
        <f>Raw_Data!B297</f>
        <v>45752</v>
      </c>
      <c r="C297" s="3" t="str">
        <f>Raw_Data!C297</f>
        <v>Google Ads</v>
      </c>
      <c r="D297" s="3" t="str">
        <f>Raw_Data!D297</f>
        <v>West</v>
      </c>
      <c r="E297" s="5">
        <f>Raw_Data!E297</f>
        <v>7882.3</v>
      </c>
      <c r="F297" s="5">
        <f>Raw_Data!F297</f>
        <v>7914.16</v>
      </c>
      <c r="G297" s="3">
        <f>Raw_Data!G297</f>
        <v>169951</v>
      </c>
      <c r="H297" s="3">
        <f>Raw_Data!H297</f>
        <v>5839</v>
      </c>
      <c r="I297" s="3">
        <f>Raw_Data!I297</f>
        <v>987</v>
      </c>
      <c r="J297" s="5">
        <f>Raw_Data!J297</f>
        <v>38057.08</v>
      </c>
      <c r="K297" s="6">
        <f t="shared" si="28"/>
        <v>0.0343569617124936</v>
      </c>
      <c r="L297" s="5">
        <f t="shared" si="29"/>
        <v>1.35539647199863</v>
      </c>
      <c r="M297" s="5">
        <f t="shared" si="30"/>
        <v>8.01839918946302</v>
      </c>
      <c r="N297" s="7">
        <f t="shared" si="31"/>
        <v>4.80873270189129</v>
      </c>
      <c r="O297" s="5">
        <f t="shared" si="32"/>
        <v>30142.92</v>
      </c>
      <c r="P297" s="8">
        <f t="shared" si="33"/>
        <v>79.2045001876129</v>
      </c>
      <c r="Q297" s="3" t="str">
        <f t="shared" si="34"/>
        <v>2025-04</v>
      </c>
    </row>
    <row r="298" customHeight="1" spans="1:17">
      <c r="A298" s="3" t="str">
        <f>Raw_Data!A298</f>
        <v>C0485</v>
      </c>
      <c r="B298" s="4">
        <f>Raw_Data!B298</f>
        <v>45752</v>
      </c>
      <c r="C298" s="3" t="str">
        <f>Raw_Data!C298</f>
        <v>LinkedIn</v>
      </c>
      <c r="D298" s="3" t="str">
        <f>Raw_Data!D298</f>
        <v>South</v>
      </c>
      <c r="E298" s="5">
        <f>Raw_Data!E298</f>
        <v>9082.33</v>
      </c>
      <c r="F298" s="5">
        <f>Raw_Data!F298</f>
        <v>8820.6</v>
      </c>
      <c r="G298" s="3">
        <f>Raw_Data!G298</f>
        <v>103488</v>
      </c>
      <c r="H298" s="3">
        <f>Raw_Data!H298</f>
        <v>2459</v>
      </c>
      <c r="I298" s="3">
        <f>Raw_Data!I298</f>
        <v>416</v>
      </c>
      <c r="J298" s="5">
        <f>Raw_Data!J298</f>
        <v>8699.23</v>
      </c>
      <c r="K298" s="6">
        <f t="shared" si="28"/>
        <v>0.0237612090290662</v>
      </c>
      <c r="L298" s="5">
        <f t="shared" si="29"/>
        <v>3.58706791378609</v>
      </c>
      <c r="M298" s="5">
        <f t="shared" si="30"/>
        <v>21.2033653846154</v>
      </c>
      <c r="N298" s="7">
        <f t="shared" si="31"/>
        <v>0.986240165068136</v>
      </c>
      <c r="O298" s="5">
        <f t="shared" si="32"/>
        <v>-121.370000000001</v>
      </c>
      <c r="P298" s="8">
        <f t="shared" si="33"/>
        <v>-1.39518095279698</v>
      </c>
      <c r="Q298" s="3" t="str">
        <f t="shared" si="34"/>
        <v>2025-04</v>
      </c>
    </row>
    <row r="299" customHeight="1" spans="1:17">
      <c r="A299" s="3" t="str">
        <f>Raw_Data!A299</f>
        <v>C0387</v>
      </c>
      <c r="B299" s="4">
        <f>Raw_Data!B299</f>
        <v>45752</v>
      </c>
      <c r="C299" s="3" t="str">
        <f>Raw_Data!C299</f>
        <v>Twitter</v>
      </c>
      <c r="D299" s="3" t="str">
        <f>Raw_Data!D299</f>
        <v>South</v>
      </c>
      <c r="E299" s="5">
        <f>Raw_Data!E299</f>
        <v>9102.9</v>
      </c>
      <c r="F299" s="5">
        <f>Raw_Data!F299</f>
        <v>7362.19</v>
      </c>
      <c r="G299" s="3">
        <f>Raw_Data!G299</f>
        <v>54766</v>
      </c>
      <c r="H299" s="3">
        <f>Raw_Data!H299</f>
        <v>2723</v>
      </c>
      <c r="I299" s="3">
        <f>Raw_Data!I299</f>
        <v>466</v>
      </c>
      <c r="J299" s="5">
        <f>Raw_Data!J299</f>
        <v>20864.92</v>
      </c>
      <c r="K299" s="6">
        <f t="shared" si="28"/>
        <v>0.0497206295877004</v>
      </c>
      <c r="L299" s="5">
        <f t="shared" si="29"/>
        <v>2.70370547190599</v>
      </c>
      <c r="M299" s="5">
        <f t="shared" si="30"/>
        <v>15.7986909871245</v>
      </c>
      <c r="N299" s="7">
        <f t="shared" si="31"/>
        <v>2.83406432053506</v>
      </c>
      <c r="O299" s="5">
        <f t="shared" si="32"/>
        <v>13502.73</v>
      </c>
      <c r="P299" s="8">
        <f t="shared" si="33"/>
        <v>64.7149857272398</v>
      </c>
      <c r="Q299" s="3" t="str">
        <f t="shared" si="34"/>
        <v>2025-04</v>
      </c>
    </row>
    <row r="300" customHeight="1" spans="1:17">
      <c r="A300" s="3" t="str">
        <f>Raw_Data!A300</f>
        <v>C0123</v>
      </c>
      <c r="B300" s="4">
        <f>Raw_Data!B300</f>
        <v>45752</v>
      </c>
      <c r="C300" s="3" t="str">
        <f>Raw_Data!C300</f>
        <v>Twitter</v>
      </c>
      <c r="D300" s="3" t="str">
        <f>Raw_Data!D300</f>
        <v>East</v>
      </c>
      <c r="E300" s="5">
        <f>Raw_Data!E300</f>
        <v>9728.33</v>
      </c>
      <c r="F300" s="5">
        <f>Raw_Data!F300</f>
        <v>10424.93</v>
      </c>
      <c r="G300" s="3">
        <f>Raw_Data!G300</f>
        <v>165946</v>
      </c>
      <c r="H300" s="3">
        <f>Raw_Data!H300</f>
        <v>4099</v>
      </c>
      <c r="I300" s="3">
        <f>Raw_Data!I300</f>
        <v>151</v>
      </c>
      <c r="J300" s="5">
        <f>Raw_Data!J300</f>
        <v>3906.93</v>
      </c>
      <c r="K300" s="6">
        <f t="shared" si="28"/>
        <v>0.0247008062863823</v>
      </c>
      <c r="L300" s="5">
        <f t="shared" si="29"/>
        <v>2.54328616735789</v>
      </c>
      <c r="M300" s="5">
        <f t="shared" si="30"/>
        <v>69.0392715231788</v>
      </c>
      <c r="N300" s="7">
        <f t="shared" si="31"/>
        <v>0.37476798405361</v>
      </c>
      <c r="O300" s="5">
        <f t="shared" si="32"/>
        <v>-6518</v>
      </c>
      <c r="P300" s="8">
        <f t="shared" si="33"/>
        <v>-166.83175792758</v>
      </c>
      <c r="Q300" s="3" t="str">
        <f t="shared" si="34"/>
        <v>2025-04</v>
      </c>
    </row>
    <row r="301" customHeight="1" spans="1:17">
      <c r="A301" s="3" t="str">
        <f>Raw_Data!A301</f>
        <v>C0106</v>
      </c>
      <c r="B301" s="4">
        <f>Raw_Data!B301</f>
        <v>45752</v>
      </c>
      <c r="C301" s="3" t="str">
        <f>Raw_Data!C301</f>
        <v>Google Ads</v>
      </c>
      <c r="D301" s="3" t="str">
        <f>Raw_Data!D301</f>
        <v>West</v>
      </c>
      <c r="E301" s="5">
        <f>Raw_Data!E301</f>
        <v>7871.82</v>
      </c>
      <c r="F301" s="5">
        <f>Raw_Data!F301</f>
        <v>7263.22</v>
      </c>
      <c r="G301" s="3">
        <f>Raw_Data!G301</f>
        <v>176077</v>
      </c>
      <c r="H301" s="3">
        <f>Raw_Data!H301</f>
        <v>2054</v>
      </c>
      <c r="I301" s="3">
        <f>Raw_Data!I301</f>
        <v>402</v>
      </c>
      <c r="J301" s="5">
        <f>Raw_Data!J301</f>
        <v>10129.93</v>
      </c>
      <c r="K301" s="6">
        <f t="shared" si="28"/>
        <v>0.011665350954412</v>
      </c>
      <c r="L301" s="5">
        <f t="shared" si="29"/>
        <v>3.53613437195716</v>
      </c>
      <c r="M301" s="5">
        <f t="shared" si="30"/>
        <v>18.0677114427861</v>
      </c>
      <c r="N301" s="7">
        <f t="shared" si="31"/>
        <v>1.39468858164836</v>
      </c>
      <c r="O301" s="5">
        <f t="shared" si="32"/>
        <v>2866.71</v>
      </c>
      <c r="P301" s="8">
        <f t="shared" si="33"/>
        <v>28.2994058201784</v>
      </c>
      <c r="Q301" s="3" t="str">
        <f t="shared" si="34"/>
        <v>2025-04</v>
      </c>
    </row>
    <row r="302" customHeight="1" spans="1:17">
      <c r="A302" s="3" t="str">
        <f>Raw_Data!A302</f>
        <v>C0141</v>
      </c>
      <c r="B302" s="4">
        <f>Raw_Data!B302</f>
        <v>45752</v>
      </c>
      <c r="C302" s="3" t="str">
        <f>Raw_Data!C302</f>
        <v>Instagram</v>
      </c>
      <c r="D302" s="3" t="str">
        <f>Raw_Data!D302</f>
        <v>South</v>
      </c>
      <c r="E302" s="5">
        <f>Raw_Data!E302</f>
        <v>8541.05</v>
      </c>
      <c r="F302" s="5">
        <f>Raw_Data!F302</f>
        <v>8856.09</v>
      </c>
      <c r="G302" s="3">
        <f>Raw_Data!G302</f>
        <v>198199</v>
      </c>
      <c r="H302" s="3">
        <f>Raw_Data!H302</f>
        <v>5993</v>
      </c>
      <c r="I302" s="3">
        <f>Raw_Data!I302</f>
        <v>1087</v>
      </c>
      <c r="J302" s="5">
        <f>Raw_Data!J302</f>
        <v>24714.23</v>
      </c>
      <c r="K302" s="6">
        <f t="shared" si="28"/>
        <v>0.0302372867673399</v>
      </c>
      <c r="L302" s="5">
        <f t="shared" si="29"/>
        <v>1.47773902886701</v>
      </c>
      <c r="M302" s="5">
        <f t="shared" si="30"/>
        <v>8.14727690892364</v>
      </c>
      <c r="N302" s="7">
        <f t="shared" si="31"/>
        <v>2.79064801735303</v>
      </c>
      <c r="O302" s="5">
        <f t="shared" si="32"/>
        <v>15858.14</v>
      </c>
      <c r="P302" s="8">
        <f t="shared" si="33"/>
        <v>64.1660290448054</v>
      </c>
      <c r="Q302" s="3" t="str">
        <f t="shared" si="34"/>
        <v>2025-04</v>
      </c>
    </row>
    <row r="303" customHeight="1" spans="1:17">
      <c r="A303" s="3" t="str">
        <f>Raw_Data!A303</f>
        <v>C0026</v>
      </c>
      <c r="B303" s="4">
        <f>Raw_Data!B303</f>
        <v>45753</v>
      </c>
      <c r="C303" s="3" t="str">
        <f>Raw_Data!C303</f>
        <v>Facebook</v>
      </c>
      <c r="D303" s="3" t="str">
        <f>Raw_Data!D303</f>
        <v>West</v>
      </c>
      <c r="E303" s="5">
        <f>Raw_Data!E303</f>
        <v>8103.05</v>
      </c>
      <c r="F303" s="5">
        <f>Raw_Data!F303</f>
        <v>8357.33</v>
      </c>
      <c r="G303" s="3">
        <f>Raw_Data!G303</f>
        <v>187598</v>
      </c>
      <c r="H303" s="3">
        <f>Raw_Data!H303</f>
        <v>7514</v>
      </c>
      <c r="I303" s="3">
        <f>Raw_Data!I303</f>
        <v>1465</v>
      </c>
      <c r="J303" s="5">
        <f>Raw_Data!J303</f>
        <v>32554.26</v>
      </c>
      <c r="K303" s="6">
        <f t="shared" si="28"/>
        <v>0.0400537319161185</v>
      </c>
      <c r="L303" s="5">
        <f t="shared" si="29"/>
        <v>1.1122344956082</v>
      </c>
      <c r="M303" s="5">
        <f t="shared" si="30"/>
        <v>5.70466211604096</v>
      </c>
      <c r="N303" s="7">
        <f t="shared" si="31"/>
        <v>3.89529431050347</v>
      </c>
      <c r="O303" s="5">
        <f t="shared" si="32"/>
        <v>24196.93</v>
      </c>
      <c r="P303" s="8">
        <f t="shared" si="33"/>
        <v>74.327998854835</v>
      </c>
      <c r="Q303" s="3" t="str">
        <f t="shared" si="34"/>
        <v>2025-04</v>
      </c>
    </row>
    <row r="304" customHeight="1" spans="1:17">
      <c r="A304" s="3" t="str">
        <f>Raw_Data!A304</f>
        <v>C0345</v>
      </c>
      <c r="B304" s="4">
        <f>Raw_Data!B304</f>
        <v>45753</v>
      </c>
      <c r="C304" s="3" t="str">
        <f>Raw_Data!C304</f>
        <v>Twitter</v>
      </c>
      <c r="D304" s="3" t="str">
        <f>Raw_Data!D304</f>
        <v>West</v>
      </c>
      <c r="E304" s="5">
        <f>Raw_Data!E304</f>
        <v>4610.06</v>
      </c>
      <c r="F304" s="5">
        <f>Raw_Data!F304</f>
        <v>3854.79</v>
      </c>
      <c r="G304" s="3">
        <f>Raw_Data!G304</f>
        <v>154277</v>
      </c>
      <c r="H304" s="3">
        <f>Raw_Data!H304</f>
        <v>3322</v>
      </c>
      <c r="I304" s="3">
        <f>Raw_Data!I304</f>
        <v>278</v>
      </c>
      <c r="J304" s="5">
        <f>Raw_Data!J304</f>
        <v>6201.79</v>
      </c>
      <c r="K304" s="6">
        <f t="shared" si="28"/>
        <v>0.0215326976801467</v>
      </c>
      <c r="L304" s="5">
        <f t="shared" si="29"/>
        <v>1.16038229981939</v>
      </c>
      <c r="M304" s="5">
        <f t="shared" si="30"/>
        <v>13.8661510791367</v>
      </c>
      <c r="N304" s="7">
        <f t="shared" si="31"/>
        <v>1.60885288173934</v>
      </c>
      <c r="O304" s="5">
        <f t="shared" si="32"/>
        <v>2347</v>
      </c>
      <c r="P304" s="8">
        <f t="shared" si="33"/>
        <v>37.843912805819</v>
      </c>
      <c r="Q304" s="3" t="str">
        <f t="shared" si="34"/>
        <v>2025-04</v>
      </c>
    </row>
    <row r="305" customHeight="1" spans="1:17">
      <c r="A305" s="3" t="str">
        <f>Raw_Data!A305</f>
        <v>C0409</v>
      </c>
      <c r="B305" s="4">
        <f>Raw_Data!B305</f>
        <v>45754</v>
      </c>
      <c r="C305" s="3" t="str">
        <f>Raw_Data!C305</f>
        <v>Google Ads</v>
      </c>
      <c r="D305" s="3" t="str">
        <f>Raw_Data!D305</f>
        <v>East</v>
      </c>
      <c r="E305" s="5">
        <f>Raw_Data!E305</f>
        <v>5938.09</v>
      </c>
      <c r="F305" s="5">
        <f>Raw_Data!F305</f>
        <v>5887.96</v>
      </c>
      <c r="G305" s="3">
        <f>Raw_Data!G305</f>
        <v>149688</v>
      </c>
      <c r="H305" s="3">
        <f>Raw_Data!H305</f>
        <v>5146</v>
      </c>
      <c r="I305" s="3">
        <f>Raw_Data!I305</f>
        <v>512</v>
      </c>
      <c r="J305" s="5">
        <f>Raw_Data!J305</f>
        <v>16347.05</v>
      </c>
      <c r="K305" s="6">
        <f t="shared" si="28"/>
        <v>0.0343781732670622</v>
      </c>
      <c r="L305" s="5">
        <f t="shared" si="29"/>
        <v>1.14418188884571</v>
      </c>
      <c r="M305" s="5">
        <f t="shared" si="30"/>
        <v>11.499921875</v>
      </c>
      <c r="N305" s="7">
        <f t="shared" si="31"/>
        <v>2.7763520811962</v>
      </c>
      <c r="O305" s="5">
        <f t="shared" si="32"/>
        <v>10459.09</v>
      </c>
      <c r="P305" s="8">
        <f t="shared" si="33"/>
        <v>63.9815134840843</v>
      </c>
      <c r="Q305" s="3" t="str">
        <f t="shared" si="34"/>
        <v>2025-04</v>
      </c>
    </row>
    <row r="306" customHeight="1" spans="1:17">
      <c r="A306" s="3" t="str">
        <f>Raw_Data!A306</f>
        <v>C0320</v>
      </c>
      <c r="B306" s="4">
        <f>Raw_Data!B306</f>
        <v>45754</v>
      </c>
      <c r="C306" s="3" t="str">
        <f>Raw_Data!C306</f>
        <v>Instagram</v>
      </c>
      <c r="D306" s="3" t="str">
        <f>Raw_Data!D306</f>
        <v>West</v>
      </c>
      <c r="E306" s="5">
        <f>Raw_Data!E306</f>
        <v>3328.76</v>
      </c>
      <c r="F306" s="5">
        <f>Raw_Data!F306</f>
        <v>2829.06</v>
      </c>
      <c r="G306" s="3">
        <f>Raw_Data!G306</f>
        <v>54764</v>
      </c>
      <c r="H306" s="3">
        <f>Raw_Data!H306</f>
        <v>1698</v>
      </c>
      <c r="I306" s="3">
        <f>Raw_Data!I306</f>
        <v>278</v>
      </c>
      <c r="J306" s="5">
        <f>Raw_Data!J306</f>
        <v>11715.2</v>
      </c>
      <c r="K306" s="6">
        <f t="shared" si="28"/>
        <v>0.0310057702140092</v>
      </c>
      <c r="L306" s="5">
        <f t="shared" si="29"/>
        <v>1.66611307420495</v>
      </c>
      <c r="M306" s="5">
        <f t="shared" si="30"/>
        <v>10.1764748201439</v>
      </c>
      <c r="N306" s="7">
        <f t="shared" si="31"/>
        <v>4.14102210628265</v>
      </c>
      <c r="O306" s="5">
        <f t="shared" si="32"/>
        <v>8886.14</v>
      </c>
      <c r="P306" s="8">
        <f t="shared" si="33"/>
        <v>75.851372575799</v>
      </c>
      <c r="Q306" s="3" t="str">
        <f t="shared" si="34"/>
        <v>2025-04</v>
      </c>
    </row>
    <row r="307" customHeight="1" spans="1:17">
      <c r="A307" s="3" t="str">
        <f>Raw_Data!A307</f>
        <v>C0115</v>
      </c>
      <c r="B307" s="4">
        <f>Raw_Data!B307</f>
        <v>45754</v>
      </c>
      <c r="C307" s="3" t="str">
        <f>Raw_Data!C307</f>
        <v>LinkedIn</v>
      </c>
      <c r="D307" s="3" t="str">
        <f>Raw_Data!D307</f>
        <v>West</v>
      </c>
      <c r="E307" s="5">
        <f>Raw_Data!E307</f>
        <v>4212.41</v>
      </c>
      <c r="F307" s="5">
        <f>Raw_Data!F307</f>
        <v>3918.2</v>
      </c>
      <c r="G307" s="3">
        <f>Raw_Data!G307</f>
        <v>171690</v>
      </c>
      <c r="H307" s="3">
        <f>Raw_Data!H307</f>
        <v>1892</v>
      </c>
      <c r="I307" s="3">
        <f>Raw_Data!I307</f>
        <v>232</v>
      </c>
      <c r="J307" s="5">
        <f>Raw_Data!J307</f>
        <v>7413.59</v>
      </c>
      <c r="K307" s="6">
        <f t="shared" si="28"/>
        <v>0.0110198613780651</v>
      </c>
      <c r="L307" s="5">
        <f t="shared" si="29"/>
        <v>2.07093023255814</v>
      </c>
      <c r="M307" s="5">
        <f t="shared" si="30"/>
        <v>16.8887931034483</v>
      </c>
      <c r="N307" s="7">
        <f t="shared" si="31"/>
        <v>1.89209075595937</v>
      </c>
      <c r="O307" s="5">
        <f t="shared" si="32"/>
        <v>3495.39</v>
      </c>
      <c r="P307" s="8">
        <f t="shared" si="33"/>
        <v>47.1484125774422</v>
      </c>
      <c r="Q307" s="3" t="str">
        <f t="shared" si="34"/>
        <v>2025-04</v>
      </c>
    </row>
    <row r="308" customHeight="1" spans="1:17">
      <c r="A308" s="3" t="str">
        <f>Raw_Data!A308</f>
        <v>C0012</v>
      </c>
      <c r="B308" s="4">
        <f>Raw_Data!B308</f>
        <v>45754</v>
      </c>
      <c r="C308" s="3" t="str">
        <f>Raw_Data!C308</f>
        <v>Instagram</v>
      </c>
      <c r="D308" s="3" t="str">
        <f>Raw_Data!D308</f>
        <v>South</v>
      </c>
      <c r="E308" s="5">
        <f>Raw_Data!E308</f>
        <v>9642.2</v>
      </c>
      <c r="F308" s="5">
        <f>Raw_Data!F308</f>
        <v>10507.01</v>
      </c>
      <c r="G308" s="3">
        <f>Raw_Data!G308</f>
        <v>54909</v>
      </c>
      <c r="H308" s="3">
        <f>Raw_Data!H308</f>
        <v>2182</v>
      </c>
      <c r="I308" s="3">
        <f>Raw_Data!I308</f>
        <v>153</v>
      </c>
      <c r="J308" s="5">
        <f>Raw_Data!J308</f>
        <v>6770.54</v>
      </c>
      <c r="K308" s="6">
        <f t="shared" si="28"/>
        <v>0.0397384763882059</v>
      </c>
      <c r="L308" s="5">
        <f t="shared" si="29"/>
        <v>4.81531164069661</v>
      </c>
      <c r="M308" s="5">
        <f t="shared" si="30"/>
        <v>68.6732679738562</v>
      </c>
      <c r="N308" s="7">
        <f t="shared" si="31"/>
        <v>0.644383130881193</v>
      </c>
      <c r="O308" s="5">
        <f t="shared" si="32"/>
        <v>-3736.47</v>
      </c>
      <c r="P308" s="8">
        <f t="shared" si="33"/>
        <v>-55.1871785706901</v>
      </c>
      <c r="Q308" s="3" t="str">
        <f t="shared" si="34"/>
        <v>2025-04</v>
      </c>
    </row>
    <row r="309" customHeight="1" spans="1:17">
      <c r="A309" s="3" t="str">
        <f>Raw_Data!A309</f>
        <v>C0285</v>
      </c>
      <c r="B309" s="4">
        <f>Raw_Data!B309</f>
        <v>45754</v>
      </c>
      <c r="C309" s="3" t="str">
        <f>Raw_Data!C309</f>
        <v>Google Ads</v>
      </c>
      <c r="D309" s="3" t="str">
        <f>Raw_Data!D309</f>
        <v>South</v>
      </c>
      <c r="E309" s="5">
        <f>Raw_Data!E309</f>
        <v>4469.34</v>
      </c>
      <c r="F309" s="5">
        <f>Raw_Data!F309</f>
        <v>4779.58</v>
      </c>
      <c r="G309" s="3">
        <f>Raw_Data!G309</f>
        <v>61798</v>
      </c>
      <c r="H309" s="3">
        <f>Raw_Data!H309</f>
        <v>1170</v>
      </c>
      <c r="I309" s="3">
        <f>Raw_Data!I309</f>
        <v>114</v>
      </c>
      <c r="J309" s="5">
        <f>Raw_Data!J309</f>
        <v>2981.58</v>
      </c>
      <c r="K309" s="6">
        <f t="shared" si="28"/>
        <v>0.0189326515421211</v>
      </c>
      <c r="L309" s="5">
        <f t="shared" si="29"/>
        <v>4.08511111111111</v>
      </c>
      <c r="M309" s="5">
        <f t="shared" si="30"/>
        <v>41.9261403508772</v>
      </c>
      <c r="N309" s="7">
        <f t="shared" si="31"/>
        <v>0.623816318588663</v>
      </c>
      <c r="O309" s="5">
        <f t="shared" si="32"/>
        <v>-1798</v>
      </c>
      <c r="P309" s="8">
        <f t="shared" si="33"/>
        <v>-60.3035974215014</v>
      </c>
      <c r="Q309" s="3" t="str">
        <f t="shared" si="34"/>
        <v>2025-04</v>
      </c>
    </row>
    <row r="310" customHeight="1" spans="1:17">
      <c r="A310" s="3" t="str">
        <f>Raw_Data!A310</f>
        <v>C0036</v>
      </c>
      <c r="B310" s="4">
        <f>Raw_Data!B310</f>
        <v>45755</v>
      </c>
      <c r="C310" s="3" t="str">
        <f>Raw_Data!C310</f>
        <v>Instagram</v>
      </c>
      <c r="D310" s="3" t="str">
        <f>Raw_Data!D310</f>
        <v>East</v>
      </c>
      <c r="E310" s="5">
        <f>Raw_Data!E310</f>
        <v>4745.05</v>
      </c>
      <c r="F310" s="5">
        <f>Raw_Data!F310</f>
        <v>4380.23</v>
      </c>
      <c r="G310" s="3">
        <f>Raw_Data!G310</f>
        <v>114426</v>
      </c>
      <c r="H310" s="3">
        <f>Raw_Data!H310</f>
        <v>4726</v>
      </c>
      <c r="I310" s="3">
        <f>Raw_Data!I310</f>
        <v>77</v>
      </c>
      <c r="J310" s="5">
        <f>Raw_Data!J310</f>
        <v>3285.32</v>
      </c>
      <c r="K310" s="6">
        <f t="shared" si="28"/>
        <v>0.0413018020379984</v>
      </c>
      <c r="L310" s="5">
        <f t="shared" si="29"/>
        <v>0.926836648328396</v>
      </c>
      <c r="M310" s="5">
        <f t="shared" si="30"/>
        <v>56.8861038961039</v>
      </c>
      <c r="N310" s="7">
        <f t="shared" si="31"/>
        <v>0.750033674030816</v>
      </c>
      <c r="O310" s="5">
        <f t="shared" si="32"/>
        <v>-1094.91</v>
      </c>
      <c r="P310" s="8">
        <f t="shared" si="33"/>
        <v>-33.3273471077399</v>
      </c>
      <c r="Q310" s="3" t="str">
        <f t="shared" si="34"/>
        <v>2025-04</v>
      </c>
    </row>
    <row r="311" customHeight="1" spans="1:17">
      <c r="A311" s="3" t="str">
        <f>Raw_Data!A311</f>
        <v>C0316</v>
      </c>
      <c r="B311" s="4">
        <f>Raw_Data!B311</f>
        <v>45755</v>
      </c>
      <c r="C311" s="3" t="str">
        <f>Raw_Data!C311</f>
        <v>Facebook</v>
      </c>
      <c r="D311" s="3" t="str">
        <f>Raw_Data!D311</f>
        <v>South</v>
      </c>
      <c r="E311" s="5">
        <f>Raw_Data!E311</f>
        <v>3076.97</v>
      </c>
      <c r="F311" s="5">
        <f>Raw_Data!F311</f>
        <v>2587.93</v>
      </c>
      <c r="G311" s="3">
        <f>Raw_Data!G311</f>
        <v>154581</v>
      </c>
      <c r="H311" s="3">
        <f>Raw_Data!H311</f>
        <v>6093</v>
      </c>
      <c r="I311" s="3">
        <f>Raw_Data!I311</f>
        <v>236</v>
      </c>
      <c r="J311" s="5">
        <f>Raw_Data!J311</f>
        <v>11092.13</v>
      </c>
      <c r="K311" s="6">
        <f t="shared" si="28"/>
        <v>0.0394162283851185</v>
      </c>
      <c r="L311" s="5">
        <f t="shared" si="29"/>
        <v>0.424738224191695</v>
      </c>
      <c r="M311" s="5">
        <f t="shared" si="30"/>
        <v>10.9658050847458</v>
      </c>
      <c r="N311" s="7">
        <f t="shared" si="31"/>
        <v>4.28610124694254</v>
      </c>
      <c r="O311" s="5">
        <f t="shared" si="32"/>
        <v>8504.2</v>
      </c>
      <c r="P311" s="8">
        <f t="shared" si="33"/>
        <v>76.6687732653692</v>
      </c>
      <c r="Q311" s="3" t="str">
        <f t="shared" si="34"/>
        <v>2025-04</v>
      </c>
    </row>
    <row r="312" customHeight="1" spans="1:17">
      <c r="A312" s="3" t="str">
        <f>Raw_Data!A312</f>
        <v>C0307</v>
      </c>
      <c r="B312" s="4">
        <f>Raw_Data!B312</f>
        <v>45756</v>
      </c>
      <c r="C312" s="3" t="str">
        <f>Raw_Data!C312</f>
        <v>LinkedIn</v>
      </c>
      <c r="D312" s="3" t="str">
        <f>Raw_Data!D312</f>
        <v>East</v>
      </c>
      <c r="E312" s="5">
        <f>Raw_Data!E312</f>
        <v>8345.24</v>
      </c>
      <c r="F312" s="5">
        <f>Raw_Data!F312</f>
        <v>7026.98</v>
      </c>
      <c r="G312" s="3">
        <f>Raw_Data!G312</f>
        <v>93966</v>
      </c>
      <c r="H312" s="3">
        <f>Raw_Data!H312</f>
        <v>2601</v>
      </c>
      <c r="I312" s="3">
        <f>Raw_Data!I312</f>
        <v>324</v>
      </c>
      <c r="J312" s="5">
        <f>Raw_Data!J312</f>
        <v>14921.51</v>
      </c>
      <c r="K312" s="6">
        <f t="shared" si="28"/>
        <v>0.027680224762148</v>
      </c>
      <c r="L312" s="5">
        <f t="shared" si="29"/>
        <v>2.70164552095348</v>
      </c>
      <c r="M312" s="5">
        <f t="shared" si="30"/>
        <v>21.6882098765432</v>
      </c>
      <c r="N312" s="7">
        <f t="shared" si="31"/>
        <v>2.12345986469294</v>
      </c>
      <c r="O312" s="5">
        <f t="shared" si="32"/>
        <v>7894.53</v>
      </c>
      <c r="P312" s="8">
        <f t="shared" si="33"/>
        <v>52.9070449304393</v>
      </c>
      <c r="Q312" s="3" t="str">
        <f t="shared" si="34"/>
        <v>2025-04</v>
      </c>
    </row>
    <row r="313" customHeight="1" spans="1:17">
      <c r="A313" s="3" t="str">
        <f>Raw_Data!A313</f>
        <v>C0299</v>
      </c>
      <c r="B313" s="4">
        <f>Raw_Data!B313</f>
        <v>45756</v>
      </c>
      <c r="C313" s="3" t="str">
        <f>Raw_Data!C313</f>
        <v>Twitter</v>
      </c>
      <c r="D313" s="3" t="str">
        <f>Raw_Data!D313</f>
        <v>East</v>
      </c>
      <c r="E313" s="5">
        <f>Raw_Data!E313</f>
        <v>7676.6</v>
      </c>
      <c r="F313" s="5">
        <f>Raw_Data!F313</f>
        <v>6613.35</v>
      </c>
      <c r="G313" s="3">
        <f>Raw_Data!G313</f>
        <v>111235</v>
      </c>
      <c r="H313" s="3">
        <f>Raw_Data!H313</f>
        <v>4808</v>
      </c>
      <c r="I313" s="3">
        <f>Raw_Data!I313</f>
        <v>370</v>
      </c>
      <c r="J313" s="5">
        <f>Raw_Data!J313</f>
        <v>10653.94</v>
      </c>
      <c r="K313" s="6">
        <f t="shared" si="28"/>
        <v>0.0432238054569155</v>
      </c>
      <c r="L313" s="5">
        <f t="shared" si="29"/>
        <v>1.3754887687188</v>
      </c>
      <c r="M313" s="5">
        <f t="shared" si="30"/>
        <v>17.8739189189189</v>
      </c>
      <c r="N313" s="7">
        <f t="shared" si="31"/>
        <v>1.6109747707289</v>
      </c>
      <c r="O313" s="5">
        <f t="shared" si="32"/>
        <v>4040.59</v>
      </c>
      <c r="P313" s="8">
        <f t="shared" si="33"/>
        <v>37.9257814479901</v>
      </c>
      <c r="Q313" s="3" t="str">
        <f t="shared" si="34"/>
        <v>2025-04</v>
      </c>
    </row>
    <row r="314" customHeight="1" spans="1:17">
      <c r="A314" s="3" t="str">
        <f>Raw_Data!A314</f>
        <v>C0008</v>
      </c>
      <c r="B314" s="4">
        <f>Raw_Data!B314</f>
        <v>45756</v>
      </c>
      <c r="C314" s="3" t="str">
        <f>Raw_Data!C314</f>
        <v>Facebook</v>
      </c>
      <c r="D314" s="3" t="str">
        <f>Raw_Data!D314</f>
        <v>South</v>
      </c>
      <c r="E314" s="5">
        <f>Raw_Data!E314</f>
        <v>3976.46</v>
      </c>
      <c r="F314" s="5">
        <f>Raw_Data!F314</f>
        <v>3529.68</v>
      </c>
      <c r="G314" s="3">
        <f>Raw_Data!G314</f>
        <v>64153</v>
      </c>
      <c r="H314" s="3">
        <f>Raw_Data!H314</f>
        <v>2806</v>
      </c>
      <c r="I314" s="3">
        <f>Raw_Data!I314</f>
        <v>283</v>
      </c>
      <c r="J314" s="5">
        <f>Raw_Data!J314</f>
        <v>8770.41</v>
      </c>
      <c r="K314" s="6">
        <f t="shared" si="28"/>
        <v>0.0437391860084486</v>
      </c>
      <c r="L314" s="5">
        <f t="shared" si="29"/>
        <v>1.25790449037776</v>
      </c>
      <c r="M314" s="5">
        <f t="shared" si="30"/>
        <v>12.4723674911661</v>
      </c>
      <c r="N314" s="7">
        <f t="shared" si="31"/>
        <v>2.48476065818998</v>
      </c>
      <c r="O314" s="5">
        <f t="shared" si="32"/>
        <v>5240.73</v>
      </c>
      <c r="P314" s="8">
        <f t="shared" si="33"/>
        <v>59.754675095007</v>
      </c>
      <c r="Q314" s="3" t="str">
        <f t="shared" si="34"/>
        <v>2025-04</v>
      </c>
    </row>
    <row r="315" customHeight="1" spans="1:17">
      <c r="A315" s="3" t="str">
        <f>Raw_Data!A315</f>
        <v>C0067</v>
      </c>
      <c r="B315" s="4">
        <f>Raw_Data!B315</f>
        <v>45757</v>
      </c>
      <c r="C315" s="3" t="str">
        <f>Raw_Data!C315</f>
        <v>Instagram</v>
      </c>
      <c r="D315" s="3" t="str">
        <f>Raw_Data!D315</f>
        <v>South</v>
      </c>
      <c r="E315" s="5">
        <f>Raw_Data!E315</f>
        <v>9209.6</v>
      </c>
      <c r="F315" s="5">
        <f>Raw_Data!F315</f>
        <v>9522.38</v>
      </c>
      <c r="G315" s="3">
        <f>Raw_Data!G315</f>
        <v>130681</v>
      </c>
      <c r="H315" s="3">
        <f>Raw_Data!H315</f>
        <v>5935</v>
      </c>
      <c r="I315" s="3">
        <f>Raw_Data!I315</f>
        <v>667</v>
      </c>
      <c r="J315" s="5">
        <f>Raw_Data!J315</f>
        <v>26187.05</v>
      </c>
      <c r="K315" s="6">
        <f t="shared" si="28"/>
        <v>0.0454159365171678</v>
      </c>
      <c r="L315" s="5">
        <f t="shared" si="29"/>
        <v>1.6044448188711</v>
      </c>
      <c r="M315" s="5">
        <f t="shared" si="30"/>
        <v>14.2764317841079</v>
      </c>
      <c r="N315" s="7">
        <f t="shared" si="31"/>
        <v>2.75005303296025</v>
      </c>
      <c r="O315" s="5">
        <f t="shared" si="32"/>
        <v>16664.67</v>
      </c>
      <c r="P315" s="8">
        <f t="shared" si="33"/>
        <v>63.6370648851245</v>
      </c>
      <c r="Q315" s="3" t="str">
        <f t="shared" si="34"/>
        <v>2025-04</v>
      </c>
    </row>
    <row r="316" customHeight="1" spans="1:17">
      <c r="A316" s="3" t="str">
        <f>Raw_Data!A316</f>
        <v>C0322</v>
      </c>
      <c r="B316" s="4">
        <f>Raw_Data!B316</f>
        <v>45757</v>
      </c>
      <c r="C316" s="3" t="str">
        <f>Raw_Data!C316</f>
        <v>Facebook</v>
      </c>
      <c r="D316" s="3" t="str">
        <f>Raw_Data!D316</f>
        <v>North</v>
      </c>
      <c r="E316" s="5">
        <f>Raw_Data!E316</f>
        <v>5725.07</v>
      </c>
      <c r="F316" s="5">
        <f>Raw_Data!F316</f>
        <v>5075.89</v>
      </c>
      <c r="G316" s="3">
        <f>Raw_Data!G316</f>
        <v>85169</v>
      </c>
      <c r="H316" s="3">
        <f>Raw_Data!H316</f>
        <v>1524</v>
      </c>
      <c r="I316" s="3">
        <f>Raw_Data!I316</f>
        <v>66</v>
      </c>
      <c r="J316" s="5">
        <f>Raw_Data!J316</f>
        <v>2024.23</v>
      </c>
      <c r="K316" s="6">
        <f t="shared" si="28"/>
        <v>0.0178938346111848</v>
      </c>
      <c r="L316" s="5">
        <f t="shared" si="29"/>
        <v>3.33063648293963</v>
      </c>
      <c r="M316" s="5">
        <f t="shared" si="30"/>
        <v>76.9074242424242</v>
      </c>
      <c r="N316" s="7">
        <f t="shared" si="31"/>
        <v>0.398793118054174</v>
      </c>
      <c r="O316" s="5">
        <f t="shared" si="32"/>
        <v>-3051.66</v>
      </c>
      <c r="P316" s="8">
        <f t="shared" si="33"/>
        <v>-150.756583985021</v>
      </c>
      <c r="Q316" s="3" t="str">
        <f t="shared" si="34"/>
        <v>2025-04</v>
      </c>
    </row>
    <row r="317" customHeight="1" spans="1:17">
      <c r="A317" s="3" t="str">
        <f>Raw_Data!A317</f>
        <v>C0075</v>
      </c>
      <c r="B317" s="4">
        <f>Raw_Data!B317</f>
        <v>45757</v>
      </c>
      <c r="C317" s="3" t="str">
        <f>Raw_Data!C317</f>
        <v>Twitter</v>
      </c>
      <c r="D317" s="3" t="str">
        <f>Raw_Data!D317</f>
        <v>South</v>
      </c>
      <c r="E317" s="5">
        <f>Raw_Data!E317</f>
        <v>3655.72</v>
      </c>
      <c r="F317" s="5">
        <f>Raw_Data!F317</f>
        <v>3327.86</v>
      </c>
      <c r="G317" s="3">
        <f>Raw_Data!G317</f>
        <v>86473</v>
      </c>
      <c r="H317" s="3">
        <f>Raw_Data!H317</f>
        <v>2750</v>
      </c>
      <c r="I317" s="3">
        <f>Raw_Data!I317</f>
        <v>491</v>
      </c>
      <c r="J317" s="5">
        <f>Raw_Data!J317</f>
        <v>13726.43</v>
      </c>
      <c r="K317" s="6">
        <f t="shared" si="28"/>
        <v>0.0318018340985047</v>
      </c>
      <c r="L317" s="5">
        <f t="shared" si="29"/>
        <v>1.21013090909091</v>
      </c>
      <c r="M317" s="5">
        <f t="shared" si="30"/>
        <v>6.77771894093686</v>
      </c>
      <c r="N317" s="7">
        <f t="shared" si="31"/>
        <v>4.1247017602904</v>
      </c>
      <c r="O317" s="5">
        <f t="shared" si="32"/>
        <v>10398.57</v>
      </c>
      <c r="P317" s="8">
        <f t="shared" si="33"/>
        <v>75.7558228905841</v>
      </c>
      <c r="Q317" s="3" t="str">
        <f t="shared" si="34"/>
        <v>2025-04</v>
      </c>
    </row>
    <row r="318" customHeight="1" spans="1:17">
      <c r="A318" s="3" t="str">
        <f>Raw_Data!A318</f>
        <v>C0200</v>
      </c>
      <c r="B318" s="4">
        <f>Raw_Data!B318</f>
        <v>45758</v>
      </c>
      <c r="C318" s="3" t="str">
        <f>Raw_Data!C318</f>
        <v>Instagram</v>
      </c>
      <c r="D318" s="3" t="str">
        <f>Raw_Data!D318</f>
        <v>South</v>
      </c>
      <c r="E318" s="5">
        <f>Raw_Data!E318</f>
        <v>4206.24</v>
      </c>
      <c r="F318" s="5">
        <f>Raw_Data!F318</f>
        <v>3607.64</v>
      </c>
      <c r="G318" s="3">
        <f>Raw_Data!G318</f>
        <v>171015</v>
      </c>
      <c r="H318" s="3">
        <f>Raw_Data!H318</f>
        <v>7567</v>
      </c>
      <c r="I318" s="3">
        <f>Raw_Data!I318</f>
        <v>1110</v>
      </c>
      <c r="J318" s="5">
        <f>Raw_Data!J318</f>
        <v>23560.92</v>
      </c>
      <c r="K318" s="6">
        <f t="shared" si="28"/>
        <v>0.0442475806215829</v>
      </c>
      <c r="L318" s="5">
        <f t="shared" si="29"/>
        <v>0.476759614113916</v>
      </c>
      <c r="M318" s="5">
        <f t="shared" si="30"/>
        <v>3.25012612612613</v>
      </c>
      <c r="N318" s="7">
        <f t="shared" si="31"/>
        <v>6.53084010599727</v>
      </c>
      <c r="O318" s="5">
        <f t="shared" si="32"/>
        <v>19953.28</v>
      </c>
      <c r="P318" s="8">
        <f t="shared" si="33"/>
        <v>84.6880342533314</v>
      </c>
      <c r="Q318" s="3" t="str">
        <f t="shared" si="34"/>
        <v>2025-04</v>
      </c>
    </row>
    <row r="319" customHeight="1" spans="1:17">
      <c r="A319" s="3" t="str">
        <f>Raw_Data!A319</f>
        <v>C0450</v>
      </c>
      <c r="B319" s="4">
        <f>Raw_Data!B319</f>
        <v>45758</v>
      </c>
      <c r="C319" s="3" t="str">
        <f>Raw_Data!C319</f>
        <v>Google Ads</v>
      </c>
      <c r="D319" s="3" t="str">
        <f>Raw_Data!D319</f>
        <v>South</v>
      </c>
      <c r="E319" s="5">
        <f>Raw_Data!E319</f>
        <v>5597.27</v>
      </c>
      <c r="F319" s="5">
        <f>Raw_Data!F319</f>
        <v>6136.26</v>
      </c>
      <c r="G319" s="3">
        <f>Raw_Data!G319</f>
        <v>117252</v>
      </c>
      <c r="H319" s="3">
        <f>Raw_Data!H319</f>
        <v>4476</v>
      </c>
      <c r="I319" s="3">
        <f>Raw_Data!I319</f>
        <v>461</v>
      </c>
      <c r="J319" s="5">
        <f>Raw_Data!J319</f>
        <v>9774.71</v>
      </c>
      <c r="K319" s="6">
        <f t="shared" si="28"/>
        <v>0.0381741889264149</v>
      </c>
      <c r="L319" s="5">
        <f t="shared" si="29"/>
        <v>1.37092493297587</v>
      </c>
      <c r="M319" s="5">
        <f t="shared" si="30"/>
        <v>13.3107592190889</v>
      </c>
      <c r="N319" s="7">
        <f t="shared" si="31"/>
        <v>1.5929426067344</v>
      </c>
      <c r="O319" s="5">
        <f t="shared" si="32"/>
        <v>3638.45</v>
      </c>
      <c r="P319" s="8">
        <f t="shared" si="33"/>
        <v>37.22309920192</v>
      </c>
      <c r="Q319" s="3" t="str">
        <f t="shared" si="34"/>
        <v>2025-04</v>
      </c>
    </row>
    <row r="320" customHeight="1" spans="1:17">
      <c r="A320" s="3" t="str">
        <f>Raw_Data!A320</f>
        <v>C0386</v>
      </c>
      <c r="B320" s="4">
        <f>Raw_Data!B320</f>
        <v>45758</v>
      </c>
      <c r="C320" s="3" t="str">
        <f>Raw_Data!C320</f>
        <v>Google Ads</v>
      </c>
      <c r="D320" s="3" t="str">
        <f>Raw_Data!D320</f>
        <v>South</v>
      </c>
      <c r="E320" s="5">
        <f>Raw_Data!E320</f>
        <v>8269.02</v>
      </c>
      <c r="F320" s="5">
        <f>Raw_Data!F320</f>
        <v>7008.67</v>
      </c>
      <c r="G320" s="3">
        <f>Raw_Data!G320</f>
        <v>117094</v>
      </c>
      <c r="H320" s="3">
        <f>Raw_Data!H320</f>
        <v>1370</v>
      </c>
      <c r="I320" s="3">
        <f>Raw_Data!I320</f>
        <v>194</v>
      </c>
      <c r="J320" s="5">
        <f>Raw_Data!J320</f>
        <v>9006.67</v>
      </c>
      <c r="K320" s="6">
        <f t="shared" si="28"/>
        <v>0.0117000017080294</v>
      </c>
      <c r="L320" s="5">
        <f t="shared" si="29"/>
        <v>5.11581751824817</v>
      </c>
      <c r="M320" s="5">
        <f t="shared" si="30"/>
        <v>36.1271649484536</v>
      </c>
      <c r="N320" s="7">
        <f t="shared" si="31"/>
        <v>1.28507548507777</v>
      </c>
      <c r="O320" s="5">
        <f t="shared" si="32"/>
        <v>1998</v>
      </c>
      <c r="P320" s="8">
        <f t="shared" si="33"/>
        <v>22.1835595175575</v>
      </c>
      <c r="Q320" s="3" t="str">
        <f t="shared" si="34"/>
        <v>2025-04</v>
      </c>
    </row>
    <row r="321" customHeight="1" spans="1:17">
      <c r="A321" s="3" t="str">
        <f>Raw_Data!A321</f>
        <v>C0427</v>
      </c>
      <c r="B321" s="4">
        <f>Raw_Data!B321</f>
        <v>45759</v>
      </c>
      <c r="C321" s="3" t="str">
        <f>Raw_Data!C321</f>
        <v>Google Ads</v>
      </c>
      <c r="D321" s="3" t="str">
        <f>Raw_Data!D321</f>
        <v>South</v>
      </c>
      <c r="E321" s="5">
        <f>Raw_Data!E321</f>
        <v>3997.47</v>
      </c>
      <c r="F321" s="5">
        <f>Raw_Data!F321</f>
        <v>3796.26</v>
      </c>
      <c r="G321" s="3">
        <f>Raw_Data!G321</f>
        <v>55760</v>
      </c>
      <c r="H321" s="3">
        <f>Raw_Data!H321</f>
        <v>2026</v>
      </c>
      <c r="I321" s="3">
        <f>Raw_Data!I321</f>
        <v>179</v>
      </c>
      <c r="J321" s="5">
        <f>Raw_Data!J321</f>
        <v>6899.5</v>
      </c>
      <c r="K321" s="6">
        <f t="shared" si="28"/>
        <v>0.0363342898134864</v>
      </c>
      <c r="L321" s="5">
        <f t="shared" si="29"/>
        <v>1.87377097729516</v>
      </c>
      <c r="M321" s="5">
        <f t="shared" si="30"/>
        <v>21.208156424581</v>
      </c>
      <c r="N321" s="7">
        <f t="shared" si="31"/>
        <v>1.81744664485573</v>
      </c>
      <c r="O321" s="5">
        <f t="shared" si="32"/>
        <v>3103.24</v>
      </c>
      <c r="P321" s="8">
        <f t="shared" si="33"/>
        <v>44.9777520110153</v>
      </c>
      <c r="Q321" s="3" t="str">
        <f t="shared" si="34"/>
        <v>2025-04</v>
      </c>
    </row>
    <row r="322" customHeight="1" spans="1:17">
      <c r="A322" s="3" t="str">
        <f>Raw_Data!A322</f>
        <v>C0303</v>
      </c>
      <c r="B322" s="4">
        <f>Raw_Data!B322</f>
        <v>45759</v>
      </c>
      <c r="C322" s="3" t="str">
        <f>Raw_Data!C322</f>
        <v>Google Ads</v>
      </c>
      <c r="D322" s="3" t="str">
        <f>Raw_Data!D322</f>
        <v>West</v>
      </c>
      <c r="E322" s="5">
        <f>Raw_Data!E322</f>
        <v>8722.1</v>
      </c>
      <c r="F322" s="5">
        <f>Raw_Data!F322</f>
        <v>7872.09</v>
      </c>
      <c r="G322" s="3">
        <f>Raw_Data!G322</f>
        <v>173144</v>
      </c>
      <c r="H322" s="3">
        <f>Raw_Data!H322</f>
        <v>7537</v>
      </c>
      <c r="I322" s="3">
        <f>Raw_Data!I322</f>
        <v>1161</v>
      </c>
      <c r="J322" s="5">
        <f>Raw_Data!J322</f>
        <v>32255.72</v>
      </c>
      <c r="K322" s="6">
        <f t="shared" ref="K322:K385" si="35">IFERROR(H322/G322,0)</f>
        <v>0.0435302407244837</v>
      </c>
      <c r="L322" s="5">
        <f t="shared" ref="L322:L385" si="36">IFERROR(F322/H322,0)</f>
        <v>1.0444593339525</v>
      </c>
      <c r="M322" s="5">
        <f t="shared" ref="M322:M385" si="37">IFERROR(F322/I322,0)</f>
        <v>6.78043927648579</v>
      </c>
      <c r="N322" s="7">
        <f t="shared" ref="N322:N385" si="38">IFERROR(J322/F322,0)</f>
        <v>4.0974785603315</v>
      </c>
      <c r="O322" s="5">
        <f t="shared" ref="O322:O385" si="39">J322-F322</f>
        <v>24383.63</v>
      </c>
      <c r="P322" s="8">
        <f t="shared" ref="P322:P385" si="40">IFERROR(O322/J322*100,0)</f>
        <v>75.5947472262284</v>
      </c>
      <c r="Q322" s="3" t="str">
        <f t="shared" ref="Q322:Q385" si="41">TEXT(B322,"YYYY-MM")</f>
        <v>2025-04</v>
      </c>
    </row>
    <row r="323" customHeight="1" spans="1:17">
      <c r="A323" s="3" t="str">
        <f>Raw_Data!A323</f>
        <v>C0187</v>
      </c>
      <c r="B323" s="4">
        <f>Raw_Data!B323</f>
        <v>45759</v>
      </c>
      <c r="C323" s="3" t="str">
        <f>Raw_Data!C323</f>
        <v>Google Ads</v>
      </c>
      <c r="D323" s="3" t="str">
        <f>Raw_Data!D323</f>
        <v>East</v>
      </c>
      <c r="E323" s="5">
        <f>Raw_Data!E323</f>
        <v>8285.96</v>
      </c>
      <c r="F323" s="5">
        <f>Raw_Data!F323</f>
        <v>8170.73</v>
      </c>
      <c r="G323" s="3">
        <f>Raw_Data!G323</f>
        <v>55771</v>
      </c>
      <c r="H323" s="3">
        <f>Raw_Data!H323</f>
        <v>1773</v>
      </c>
      <c r="I323" s="3">
        <f>Raw_Data!I323</f>
        <v>177</v>
      </c>
      <c r="J323" s="5">
        <f>Raw_Data!J323</f>
        <v>7278.66</v>
      </c>
      <c r="K323" s="6">
        <f t="shared" si="35"/>
        <v>0.0317907156048843</v>
      </c>
      <c r="L323" s="5">
        <f t="shared" si="36"/>
        <v>4.60842075578116</v>
      </c>
      <c r="M323" s="5">
        <f t="shared" si="37"/>
        <v>46.1623163841808</v>
      </c>
      <c r="N323" s="7">
        <f t="shared" si="38"/>
        <v>0.890821260768622</v>
      </c>
      <c r="O323" s="5">
        <f t="shared" si="39"/>
        <v>-892.07</v>
      </c>
      <c r="P323" s="8">
        <f t="shared" si="40"/>
        <v>-12.2559646967986</v>
      </c>
      <c r="Q323" s="3" t="str">
        <f t="shared" si="41"/>
        <v>2025-04</v>
      </c>
    </row>
    <row r="324" customHeight="1" spans="1:17">
      <c r="A324" s="3" t="str">
        <f>Raw_Data!A324</f>
        <v>C0038</v>
      </c>
      <c r="B324" s="4">
        <f>Raw_Data!B324</f>
        <v>45759</v>
      </c>
      <c r="C324" s="3" t="str">
        <f>Raw_Data!C324</f>
        <v>Twitter</v>
      </c>
      <c r="D324" s="3" t="str">
        <f>Raw_Data!D324</f>
        <v>West</v>
      </c>
      <c r="E324" s="5">
        <f>Raw_Data!E324</f>
        <v>4128.55</v>
      </c>
      <c r="F324" s="5">
        <f>Raw_Data!F324</f>
        <v>4454.33</v>
      </c>
      <c r="G324" s="3">
        <f>Raw_Data!G324</f>
        <v>114833</v>
      </c>
      <c r="H324" s="3">
        <f>Raw_Data!H324</f>
        <v>5099</v>
      </c>
      <c r="I324" s="3">
        <f>Raw_Data!I324</f>
        <v>70</v>
      </c>
      <c r="J324" s="5">
        <f>Raw_Data!J324</f>
        <v>3097.05</v>
      </c>
      <c r="K324" s="6">
        <f t="shared" si="35"/>
        <v>0.0444036122020674</v>
      </c>
      <c r="L324" s="5">
        <f t="shared" si="36"/>
        <v>0.873569327319082</v>
      </c>
      <c r="M324" s="5">
        <f t="shared" si="37"/>
        <v>63.6332857142857</v>
      </c>
      <c r="N324" s="7">
        <f t="shared" si="38"/>
        <v>0.695289751769626</v>
      </c>
      <c r="O324" s="5">
        <f t="shared" si="39"/>
        <v>-1357.28</v>
      </c>
      <c r="P324" s="8">
        <f t="shared" si="40"/>
        <v>-43.8249301754896</v>
      </c>
      <c r="Q324" s="3" t="str">
        <f t="shared" si="41"/>
        <v>2025-04</v>
      </c>
    </row>
    <row r="325" customHeight="1" spans="1:17">
      <c r="A325" s="3" t="str">
        <f>Raw_Data!A325</f>
        <v>C0323</v>
      </c>
      <c r="B325" s="4">
        <f>Raw_Data!B325</f>
        <v>45760</v>
      </c>
      <c r="C325" s="3" t="str">
        <f>Raw_Data!C325</f>
        <v>Instagram</v>
      </c>
      <c r="D325" s="3" t="str">
        <f>Raw_Data!D325</f>
        <v>West</v>
      </c>
      <c r="E325" s="5">
        <f>Raw_Data!E325</f>
        <v>8033.32</v>
      </c>
      <c r="F325" s="5">
        <f>Raw_Data!F325</f>
        <v>7142.72</v>
      </c>
      <c r="G325" s="3">
        <f>Raw_Data!G325</f>
        <v>75206</v>
      </c>
      <c r="H325" s="3">
        <f>Raw_Data!H325</f>
        <v>1081</v>
      </c>
      <c r="I325" s="3">
        <f>Raw_Data!I325</f>
        <v>182</v>
      </c>
      <c r="J325" s="5">
        <f>Raw_Data!J325</f>
        <v>6732.57</v>
      </c>
      <c r="K325" s="6">
        <f t="shared" si="35"/>
        <v>0.0143738531500146</v>
      </c>
      <c r="L325" s="5">
        <f t="shared" si="36"/>
        <v>6.60751156336725</v>
      </c>
      <c r="M325" s="5">
        <f t="shared" si="37"/>
        <v>39.2457142857143</v>
      </c>
      <c r="N325" s="7">
        <f t="shared" si="38"/>
        <v>0.942577897495632</v>
      </c>
      <c r="O325" s="5">
        <f t="shared" si="39"/>
        <v>-410.150000000001</v>
      </c>
      <c r="P325" s="8">
        <f t="shared" si="40"/>
        <v>-6.09202726447702</v>
      </c>
      <c r="Q325" s="3" t="str">
        <f t="shared" si="41"/>
        <v>2025-04</v>
      </c>
    </row>
    <row r="326" customHeight="1" spans="1:17">
      <c r="A326" s="3" t="str">
        <f>Raw_Data!A326</f>
        <v>C0465</v>
      </c>
      <c r="B326" s="4">
        <f>Raw_Data!B326</f>
        <v>45761</v>
      </c>
      <c r="C326" s="3" t="str">
        <f>Raw_Data!C326</f>
        <v>LinkedIn</v>
      </c>
      <c r="D326" s="3" t="str">
        <f>Raw_Data!D326</f>
        <v>South</v>
      </c>
      <c r="E326" s="5">
        <f>Raw_Data!E326</f>
        <v>4188.31</v>
      </c>
      <c r="F326" s="5">
        <f>Raw_Data!F326</f>
        <v>4003.74</v>
      </c>
      <c r="G326" s="3">
        <f>Raw_Data!G326</f>
        <v>63381</v>
      </c>
      <c r="H326" s="3">
        <f>Raw_Data!H326</f>
        <v>1826</v>
      </c>
      <c r="I326" s="3">
        <f>Raw_Data!I326</f>
        <v>231</v>
      </c>
      <c r="J326" s="5">
        <f>Raw_Data!J326</f>
        <v>6955.43</v>
      </c>
      <c r="K326" s="6">
        <f t="shared" si="35"/>
        <v>0.0288098957100708</v>
      </c>
      <c r="L326" s="5">
        <f t="shared" si="36"/>
        <v>2.1926286966046</v>
      </c>
      <c r="M326" s="5">
        <f t="shared" si="37"/>
        <v>17.3322077922078</v>
      </c>
      <c r="N326" s="7">
        <f t="shared" si="38"/>
        <v>1.73723318697018</v>
      </c>
      <c r="O326" s="5">
        <f t="shared" si="39"/>
        <v>2951.69</v>
      </c>
      <c r="P326" s="8">
        <f t="shared" si="40"/>
        <v>42.4372037386617</v>
      </c>
      <c r="Q326" s="3" t="str">
        <f t="shared" si="41"/>
        <v>2025-04</v>
      </c>
    </row>
    <row r="327" customHeight="1" spans="1:17">
      <c r="A327" s="3" t="str">
        <f>Raw_Data!A327</f>
        <v>C0206</v>
      </c>
      <c r="B327" s="4">
        <f>Raw_Data!B327</f>
        <v>45762</v>
      </c>
      <c r="C327" s="3" t="str">
        <f>Raw_Data!C327</f>
        <v>Instagram</v>
      </c>
      <c r="D327" s="3" t="str">
        <f>Raw_Data!D327</f>
        <v>South</v>
      </c>
      <c r="E327" s="5">
        <f>Raw_Data!E327</f>
        <v>9446.11</v>
      </c>
      <c r="F327" s="5">
        <f>Raw_Data!F327</f>
        <v>7729.97</v>
      </c>
      <c r="G327" s="3">
        <f>Raw_Data!G327</f>
        <v>158340</v>
      </c>
      <c r="H327" s="3">
        <f>Raw_Data!H327</f>
        <v>2273</v>
      </c>
      <c r="I327" s="3">
        <f>Raw_Data!I327</f>
        <v>434</v>
      </c>
      <c r="J327" s="5">
        <f>Raw_Data!J327</f>
        <v>12284.95</v>
      </c>
      <c r="K327" s="6">
        <f t="shared" si="35"/>
        <v>0.0143551850448402</v>
      </c>
      <c r="L327" s="5">
        <f t="shared" si="36"/>
        <v>3.40077870655521</v>
      </c>
      <c r="M327" s="5">
        <f t="shared" si="37"/>
        <v>17.8109907834101</v>
      </c>
      <c r="N327" s="7">
        <f t="shared" si="38"/>
        <v>1.58926231279035</v>
      </c>
      <c r="O327" s="5">
        <f t="shared" si="39"/>
        <v>4554.98</v>
      </c>
      <c r="P327" s="8">
        <f t="shared" si="40"/>
        <v>37.0777251840667</v>
      </c>
      <c r="Q327" s="3" t="str">
        <f t="shared" si="41"/>
        <v>2025-04</v>
      </c>
    </row>
    <row r="328" customHeight="1" spans="1:17">
      <c r="A328" s="3" t="str">
        <f>Raw_Data!A328</f>
        <v>C0145</v>
      </c>
      <c r="B328" s="4">
        <f>Raw_Data!B328</f>
        <v>45762</v>
      </c>
      <c r="C328" s="3" t="str">
        <f>Raw_Data!C328</f>
        <v>Instagram</v>
      </c>
      <c r="D328" s="3" t="str">
        <f>Raw_Data!D328</f>
        <v>North</v>
      </c>
      <c r="E328" s="5">
        <f>Raw_Data!E328</f>
        <v>7327.53</v>
      </c>
      <c r="F328" s="5">
        <f>Raw_Data!F328</f>
        <v>6084.32</v>
      </c>
      <c r="G328" s="3">
        <f>Raw_Data!G328</f>
        <v>70716</v>
      </c>
      <c r="H328" s="3">
        <f>Raw_Data!H328</f>
        <v>2637</v>
      </c>
      <c r="I328" s="3">
        <f>Raw_Data!I328</f>
        <v>111</v>
      </c>
      <c r="J328" s="5">
        <f>Raw_Data!J328</f>
        <v>2500.08</v>
      </c>
      <c r="K328" s="6">
        <f t="shared" si="35"/>
        <v>0.0372900050907857</v>
      </c>
      <c r="L328" s="5">
        <f t="shared" si="36"/>
        <v>2.30728858551384</v>
      </c>
      <c r="M328" s="5">
        <f t="shared" si="37"/>
        <v>54.8136936936937</v>
      </c>
      <c r="N328" s="7">
        <f t="shared" si="38"/>
        <v>0.410905409314434</v>
      </c>
      <c r="O328" s="5">
        <f t="shared" si="39"/>
        <v>-3584.24</v>
      </c>
      <c r="P328" s="8">
        <f t="shared" si="40"/>
        <v>-143.365012319606</v>
      </c>
      <c r="Q328" s="3" t="str">
        <f t="shared" si="41"/>
        <v>2025-04</v>
      </c>
    </row>
    <row r="329" customHeight="1" spans="1:17">
      <c r="A329" s="3" t="str">
        <f>Raw_Data!A329</f>
        <v>C0392</v>
      </c>
      <c r="B329" s="4">
        <f>Raw_Data!B329</f>
        <v>45762</v>
      </c>
      <c r="C329" s="3" t="str">
        <f>Raw_Data!C329</f>
        <v>Google Ads</v>
      </c>
      <c r="D329" s="3" t="str">
        <f>Raw_Data!D329</f>
        <v>West</v>
      </c>
      <c r="E329" s="5">
        <f>Raw_Data!E329</f>
        <v>4818.63</v>
      </c>
      <c r="F329" s="5">
        <f>Raw_Data!F329</f>
        <v>4771.42</v>
      </c>
      <c r="G329" s="3">
        <f>Raw_Data!G329</f>
        <v>175888</v>
      </c>
      <c r="H329" s="3">
        <f>Raw_Data!H329</f>
        <v>8565</v>
      </c>
      <c r="I329" s="3">
        <f>Raw_Data!I329</f>
        <v>610</v>
      </c>
      <c r="J329" s="5">
        <f>Raw_Data!J329</f>
        <v>22081.73</v>
      </c>
      <c r="K329" s="6">
        <f t="shared" si="35"/>
        <v>0.0486957609387792</v>
      </c>
      <c r="L329" s="5">
        <f t="shared" si="36"/>
        <v>0.557083479276124</v>
      </c>
      <c r="M329" s="5">
        <f t="shared" si="37"/>
        <v>7.822</v>
      </c>
      <c r="N329" s="7">
        <f t="shared" si="38"/>
        <v>4.62791579865114</v>
      </c>
      <c r="O329" s="5">
        <f t="shared" si="39"/>
        <v>17310.31</v>
      </c>
      <c r="P329" s="8">
        <f t="shared" si="40"/>
        <v>78.3920009890529</v>
      </c>
      <c r="Q329" s="3" t="str">
        <f t="shared" si="41"/>
        <v>2025-04</v>
      </c>
    </row>
    <row r="330" customHeight="1" spans="1:17">
      <c r="A330" s="3" t="str">
        <f>Raw_Data!A330</f>
        <v>C0159</v>
      </c>
      <c r="B330" s="4">
        <f>Raw_Data!B330</f>
        <v>45762</v>
      </c>
      <c r="C330" s="3" t="str">
        <f>Raw_Data!C330</f>
        <v>Instagram</v>
      </c>
      <c r="D330" s="3" t="str">
        <f>Raw_Data!D330</f>
        <v>West</v>
      </c>
      <c r="E330" s="5">
        <f>Raw_Data!E330</f>
        <v>6693.91</v>
      </c>
      <c r="F330" s="5">
        <f>Raw_Data!F330</f>
        <v>7349.17</v>
      </c>
      <c r="G330" s="3">
        <f>Raw_Data!G330</f>
        <v>86944</v>
      </c>
      <c r="H330" s="3">
        <f>Raw_Data!H330</f>
        <v>1292</v>
      </c>
      <c r="I330" s="3">
        <f>Raw_Data!I330</f>
        <v>250</v>
      </c>
      <c r="J330" s="5">
        <f>Raw_Data!J330</f>
        <v>5553.47</v>
      </c>
      <c r="K330" s="6">
        <f t="shared" si="35"/>
        <v>0.0148601398601399</v>
      </c>
      <c r="L330" s="5">
        <f t="shared" si="36"/>
        <v>5.68821207430341</v>
      </c>
      <c r="M330" s="5">
        <f t="shared" si="37"/>
        <v>29.39668</v>
      </c>
      <c r="N330" s="7">
        <f t="shared" si="38"/>
        <v>0.755659482635454</v>
      </c>
      <c r="O330" s="5">
        <f t="shared" si="39"/>
        <v>-1795.7</v>
      </c>
      <c r="P330" s="8">
        <f t="shared" si="40"/>
        <v>-32.3347384608182</v>
      </c>
      <c r="Q330" s="3" t="str">
        <f t="shared" si="41"/>
        <v>2025-04</v>
      </c>
    </row>
    <row r="331" customHeight="1" spans="1:17">
      <c r="A331" s="3" t="str">
        <f>Raw_Data!A331</f>
        <v>C0382</v>
      </c>
      <c r="B331" s="4">
        <f>Raw_Data!B331</f>
        <v>45762</v>
      </c>
      <c r="C331" s="3" t="str">
        <f>Raw_Data!C331</f>
        <v>Google Ads</v>
      </c>
      <c r="D331" s="3" t="str">
        <f>Raw_Data!D331</f>
        <v>North</v>
      </c>
      <c r="E331" s="5">
        <f>Raw_Data!E331</f>
        <v>6960.12</v>
      </c>
      <c r="F331" s="5">
        <f>Raw_Data!F331</f>
        <v>6125.66</v>
      </c>
      <c r="G331" s="3">
        <f>Raw_Data!G331</f>
        <v>181245</v>
      </c>
      <c r="H331" s="3">
        <f>Raw_Data!H331</f>
        <v>4787</v>
      </c>
      <c r="I331" s="3">
        <f>Raw_Data!I331</f>
        <v>615</v>
      </c>
      <c r="J331" s="5">
        <f>Raw_Data!J331</f>
        <v>28510.72</v>
      </c>
      <c r="K331" s="6">
        <f t="shared" si="35"/>
        <v>0.0264117630831195</v>
      </c>
      <c r="L331" s="5">
        <f t="shared" si="36"/>
        <v>1.27964487152705</v>
      </c>
      <c r="M331" s="5">
        <f t="shared" si="37"/>
        <v>9.96042276422764</v>
      </c>
      <c r="N331" s="7">
        <f t="shared" si="38"/>
        <v>4.65430990293291</v>
      </c>
      <c r="O331" s="5">
        <f t="shared" si="39"/>
        <v>22385.06</v>
      </c>
      <c r="P331" s="8">
        <f t="shared" si="40"/>
        <v>78.514537689683</v>
      </c>
      <c r="Q331" s="3" t="str">
        <f t="shared" si="41"/>
        <v>2025-04</v>
      </c>
    </row>
    <row r="332" customHeight="1" spans="1:17">
      <c r="A332" s="3" t="str">
        <f>Raw_Data!A332</f>
        <v>C0421</v>
      </c>
      <c r="B332" s="4">
        <f>Raw_Data!B332</f>
        <v>45763</v>
      </c>
      <c r="C332" s="3" t="str">
        <f>Raw_Data!C332</f>
        <v>Twitter</v>
      </c>
      <c r="D332" s="3" t="str">
        <f>Raw_Data!D332</f>
        <v>West</v>
      </c>
      <c r="E332" s="5">
        <f>Raw_Data!E332</f>
        <v>4882.95</v>
      </c>
      <c r="F332" s="5">
        <f>Raw_Data!F332</f>
        <v>5074.69</v>
      </c>
      <c r="G332" s="3">
        <f>Raw_Data!G332</f>
        <v>76424</v>
      </c>
      <c r="H332" s="3">
        <f>Raw_Data!H332</f>
        <v>1044</v>
      </c>
      <c r="I332" s="3">
        <f>Raw_Data!I332</f>
        <v>91</v>
      </c>
      <c r="J332" s="5">
        <f>Raw_Data!J332</f>
        <v>2667.29</v>
      </c>
      <c r="K332" s="6">
        <f t="shared" si="35"/>
        <v>0.0136606301685334</v>
      </c>
      <c r="L332" s="5">
        <f t="shared" si="36"/>
        <v>4.86081417624521</v>
      </c>
      <c r="M332" s="5">
        <f t="shared" si="37"/>
        <v>55.7658241758242</v>
      </c>
      <c r="N332" s="7">
        <f t="shared" si="38"/>
        <v>0.525606490248665</v>
      </c>
      <c r="O332" s="5">
        <f t="shared" si="39"/>
        <v>-2407.4</v>
      </c>
      <c r="P332" s="8">
        <f t="shared" si="40"/>
        <v>-90.2564025659002</v>
      </c>
      <c r="Q332" s="3" t="str">
        <f t="shared" si="41"/>
        <v>2025-04</v>
      </c>
    </row>
    <row r="333" customHeight="1" spans="1:17">
      <c r="A333" s="3" t="str">
        <f>Raw_Data!A333</f>
        <v>C0084</v>
      </c>
      <c r="B333" s="4">
        <f>Raw_Data!B333</f>
        <v>45763</v>
      </c>
      <c r="C333" s="3" t="str">
        <f>Raw_Data!C333</f>
        <v>Google Ads</v>
      </c>
      <c r="D333" s="3" t="str">
        <f>Raw_Data!D333</f>
        <v>West</v>
      </c>
      <c r="E333" s="5">
        <f>Raw_Data!E333</f>
        <v>8971.07</v>
      </c>
      <c r="F333" s="5">
        <f>Raw_Data!F333</f>
        <v>7969.31</v>
      </c>
      <c r="G333" s="3">
        <f>Raw_Data!G333</f>
        <v>82264</v>
      </c>
      <c r="H333" s="3">
        <f>Raw_Data!H333</f>
        <v>3537</v>
      </c>
      <c r="I333" s="3">
        <f>Raw_Data!I333</f>
        <v>673</v>
      </c>
      <c r="J333" s="5">
        <f>Raw_Data!J333</f>
        <v>21235.12</v>
      </c>
      <c r="K333" s="6">
        <f t="shared" si="35"/>
        <v>0.0429957210930662</v>
      </c>
      <c r="L333" s="5">
        <f t="shared" si="36"/>
        <v>2.25312694373763</v>
      </c>
      <c r="M333" s="5">
        <f t="shared" si="37"/>
        <v>11.84147102526</v>
      </c>
      <c r="N333" s="7">
        <f t="shared" si="38"/>
        <v>2.66461211823859</v>
      </c>
      <c r="O333" s="5">
        <f t="shared" si="39"/>
        <v>13265.81</v>
      </c>
      <c r="P333" s="8">
        <f t="shared" si="40"/>
        <v>62.4710856354944</v>
      </c>
      <c r="Q333" s="3" t="str">
        <f t="shared" si="41"/>
        <v>2025-04</v>
      </c>
    </row>
    <row r="334" customHeight="1" spans="1:17">
      <c r="A334" s="3" t="str">
        <f>Raw_Data!A334</f>
        <v>C0341</v>
      </c>
      <c r="B334" s="4">
        <f>Raw_Data!B334</f>
        <v>45763</v>
      </c>
      <c r="C334" s="3" t="str">
        <f>Raw_Data!C334</f>
        <v>Facebook</v>
      </c>
      <c r="D334" s="3" t="str">
        <f>Raw_Data!D334</f>
        <v>East</v>
      </c>
      <c r="E334" s="5">
        <f>Raw_Data!E334</f>
        <v>7881.94</v>
      </c>
      <c r="F334" s="5">
        <f>Raw_Data!F334</f>
        <v>7008.66</v>
      </c>
      <c r="G334" s="3">
        <f>Raw_Data!G334</f>
        <v>74923</v>
      </c>
      <c r="H334" s="3">
        <f>Raw_Data!H334</f>
        <v>3598</v>
      </c>
      <c r="I334" s="3">
        <f>Raw_Data!I334</f>
        <v>369</v>
      </c>
      <c r="J334" s="5">
        <f>Raw_Data!J334</f>
        <v>17613.07</v>
      </c>
      <c r="K334" s="6">
        <f t="shared" si="35"/>
        <v>0.0480226365735488</v>
      </c>
      <c r="L334" s="5">
        <f t="shared" si="36"/>
        <v>1.94793218454697</v>
      </c>
      <c r="M334" s="5">
        <f t="shared" si="37"/>
        <v>18.9936585365854</v>
      </c>
      <c r="N334" s="7">
        <f t="shared" si="38"/>
        <v>2.51304386287821</v>
      </c>
      <c r="O334" s="5">
        <f t="shared" si="39"/>
        <v>10604.41</v>
      </c>
      <c r="P334" s="8">
        <f t="shared" si="40"/>
        <v>60.2076185469086</v>
      </c>
      <c r="Q334" s="3" t="str">
        <f t="shared" si="41"/>
        <v>2025-04</v>
      </c>
    </row>
    <row r="335" customHeight="1" spans="1:17">
      <c r="A335" s="3" t="str">
        <f>Raw_Data!A335</f>
        <v>C0044</v>
      </c>
      <c r="B335" s="4">
        <f>Raw_Data!B335</f>
        <v>45763</v>
      </c>
      <c r="C335" s="3" t="str">
        <f>Raw_Data!C335</f>
        <v>LinkedIn</v>
      </c>
      <c r="D335" s="3" t="str">
        <f>Raw_Data!D335</f>
        <v>East</v>
      </c>
      <c r="E335" s="5">
        <f>Raw_Data!E335</f>
        <v>6575.23</v>
      </c>
      <c r="F335" s="5">
        <f>Raw_Data!F335</f>
        <v>6083.56</v>
      </c>
      <c r="G335" s="3">
        <f>Raw_Data!G335</f>
        <v>103534</v>
      </c>
      <c r="H335" s="3">
        <f>Raw_Data!H335</f>
        <v>3406</v>
      </c>
      <c r="I335" s="3">
        <f>Raw_Data!I335</f>
        <v>219</v>
      </c>
      <c r="J335" s="5">
        <f>Raw_Data!J335</f>
        <v>5839.25</v>
      </c>
      <c r="K335" s="6">
        <f t="shared" si="35"/>
        <v>0.0328974056831572</v>
      </c>
      <c r="L335" s="5">
        <f t="shared" si="36"/>
        <v>1.78613035819143</v>
      </c>
      <c r="M335" s="5">
        <f t="shared" si="37"/>
        <v>27.7788127853881</v>
      </c>
      <c r="N335" s="7">
        <f t="shared" si="38"/>
        <v>0.95984094839206</v>
      </c>
      <c r="O335" s="5">
        <f t="shared" si="39"/>
        <v>-244.31</v>
      </c>
      <c r="P335" s="8">
        <f t="shared" si="40"/>
        <v>-4.18392773044484</v>
      </c>
      <c r="Q335" s="3" t="str">
        <f t="shared" si="41"/>
        <v>2025-04</v>
      </c>
    </row>
    <row r="336" customHeight="1" spans="1:17">
      <c r="A336" s="3" t="str">
        <f>Raw_Data!A336</f>
        <v>C0416</v>
      </c>
      <c r="B336" s="4">
        <f>Raw_Data!B336</f>
        <v>45763</v>
      </c>
      <c r="C336" s="3" t="str">
        <f>Raw_Data!C336</f>
        <v>LinkedIn</v>
      </c>
      <c r="D336" s="3" t="str">
        <f>Raw_Data!D336</f>
        <v>North</v>
      </c>
      <c r="E336" s="5">
        <f>Raw_Data!E336</f>
        <v>7383.54</v>
      </c>
      <c r="F336" s="5">
        <f>Raw_Data!F336</f>
        <v>6197.55</v>
      </c>
      <c r="G336" s="3">
        <f>Raw_Data!G336</f>
        <v>93893</v>
      </c>
      <c r="H336" s="3">
        <f>Raw_Data!H336</f>
        <v>3140</v>
      </c>
      <c r="I336" s="3">
        <f>Raw_Data!I336</f>
        <v>208</v>
      </c>
      <c r="J336" s="5">
        <f>Raw_Data!J336</f>
        <v>4362.96</v>
      </c>
      <c r="K336" s="6">
        <f t="shared" si="35"/>
        <v>0.0334423226438606</v>
      </c>
      <c r="L336" s="5">
        <f t="shared" si="36"/>
        <v>1.97374203821656</v>
      </c>
      <c r="M336" s="5">
        <f t="shared" si="37"/>
        <v>29.7959134615385</v>
      </c>
      <c r="N336" s="7">
        <f t="shared" si="38"/>
        <v>0.703981412009584</v>
      </c>
      <c r="O336" s="5">
        <f t="shared" si="39"/>
        <v>-1834.59</v>
      </c>
      <c r="P336" s="8">
        <f t="shared" si="40"/>
        <v>-42.0492051267947</v>
      </c>
      <c r="Q336" s="3" t="str">
        <f t="shared" si="41"/>
        <v>2025-04</v>
      </c>
    </row>
    <row r="337" customHeight="1" spans="1:17">
      <c r="A337" s="3" t="str">
        <f>Raw_Data!A337</f>
        <v>C0284</v>
      </c>
      <c r="B337" s="4">
        <f>Raw_Data!B337</f>
        <v>45763</v>
      </c>
      <c r="C337" s="3" t="str">
        <f>Raw_Data!C337</f>
        <v>Google Ads</v>
      </c>
      <c r="D337" s="3" t="str">
        <f>Raw_Data!D337</f>
        <v>East</v>
      </c>
      <c r="E337" s="5">
        <f>Raw_Data!E337</f>
        <v>7167.7</v>
      </c>
      <c r="F337" s="5">
        <f>Raw_Data!F337</f>
        <v>5878.4</v>
      </c>
      <c r="G337" s="3">
        <f>Raw_Data!G337</f>
        <v>71769</v>
      </c>
      <c r="H337" s="3">
        <f>Raw_Data!H337</f>
        <v>3290</v>
      </c>
      <c r="I337" s="3">
        <f>Raw_Data!I337</f>
        <v>54</v>
      </c>
      <c r="J337" s="5">
        <f>Raw_Data!J337</f>
        <v>2294.94</v>
      </c>
      <c r="K337" s="6">
        <f t="shared" si="35"/>
        <v>0.045841519318926</v>
      </c>
      <c r="L337" s="5">
        <f t="shared" si="36"/>
        <v>1.78674772036474</v>
      </c>
      <c r="M337" s="5">
        <f t="shared" si="37"/>
        <v>108.859259259259</v>
      </c>
      <c r="N337" s="7">
        <f t="shared" si="38"/>
        <v>0.390402150244965</v>
      </c>
      <c r="O337" s="5">
        <f t="shared" si="39"/>
        <v>-3583.46</v>
      </c>
      <c r="P337" s="8">
        <f t="shared" si="40"/>
        <v>-156.146130182053</v>
      </c>
      <c r="Q337" s="3" t="str">
        <f t="shared" si="41"/>
        <v>2025-04</v>
      </c>
    </row>
    <row r="338" customHeight="1" spans="1:17">
      <c r="A338" s="3" t="str">
        <f>Raw_Data!A338</f>
        <v>C0240</v>
      </c>
      <c r="B338" s="4">
        <f>Raw_Data!B338</f>
        <v>45763</v>
      </c>
      <c r="C338" s="3" t="str">
        <f>Raw_Data!C338</f>
        <v>Instagram</v>
      </c>
      <c r="D338" s="3" t="str">
        <f>Raw_Data!D338</f>
        <v>North</v>
      </c>
      <c r="E338" s="5">
        <f>Raw_Data!E338</f>
        <v>9755.19</v>
      </c>
      <c r="F338" s="5">
        <f>Raw_Data!F338</f>
        <v>8167.91</v>
      </c>
      <c r="G338" s="3">
        <f>Raw_Data!G338</f>
        <v>78740</v>
      </c>
      <c r="H338" s="3">
        <f>Raw_Data!H338</f>
        <v>2383</v>
      </c>
      <c r="I338" s="3">
        <f>Raw_Data!I338</f>
        <v>340</v>
      </c>
      <c r="J338" s="5">
        <f>Raw_Data!J338</f>
        <v>14254.85</v>
      </c>
      <c r="K338" s="6">
        <f t="shared" si="35"/>
        <v>0.0302641605283211</v>
      </c>
      <c r="L338" s="5">
        <f t="shared" si="36"/>
        <v>3.42757448594209</v>
      </c>
      <c r="M338" s="5">
        <f t="shared" si="37"/>
        <v>24.0232647058824</v>
      </c>
      <c r="N338" s="7">
        <f t="shared" si="38"/>
        <v>1.74522613495986</v>
      </c>
      <c r="O338" s="5">
        <f t="shared" si="39"/>
        <v>6086.94</v>
      </c>
      <c r="P338" s="8">
        <f t="shared" si="40"/>
        <v>42.700835154351</v>
      </c>
      <c r="Q338" s="3" t="str">
        <f t="shared" si="41"/>
        <v>2025-04</v>
      </c>
    </row>
    <row r="339" customHeight="1" spans="1:17">
      <c r="A339" s="3" t="str">
        <f>Raw_Data!A339</f>
        <v>C0132</v>
      </c>
      <c r="B339" s="4">
        <f>Raw_Data!B339</f>
        <v>45764</v>
      </c>
      <c r="C339" s="3" t="str">
        <f>Raw_Data!C339</f>
        <v>Facebook</v>
      </c>
      <c r="D339" s="3" t="str">
        <f>Raw_Data!D339</f>
        <v>South</v>
      </c>
      <c r="E339" s="5">
        <f>Raw_Data!E339</f>
        <v>8434.89</v>
      </c>
      <c r="F339" s="5">
        <f>Raw_Data!F339</f>
        <v>7610.3</v>
      </c>
      <c r="G339" s="3">
        <f>Raw_Data!G339</f>
        <v>139183</v>
      </c>
      <c r="H339" s="3">
        <f>Raw_Data!H339</f>
        <v>5327</v>
      </c>
      <c r="I339" s="3">
        <f>Raw_Data!I339</f>
        <v>212</v>
      </c>
      <c r="J339" s="5">
        <f>Raw_Data!J339</f>
        <v>10159.62</v>
      </c>
      <c r="K339" s="6">
        <f t="shared" si="35"/>
        <v>0.0382733523490656</v>
      </c>
      <c r="L339" s="5">
        <f t="shared" si="36"/>
        <v>1.42862774544772</v>
      </c>
      <c r="M339" s="5">
        <f t="shared" si="37"/>
        <v>35.897641509434</v>
      </c>
      <c r="N339" s="7">
        <f t="shared" si="38"/>
        <v>1.33498285218717</v>
      </c>
      <c r="O339" s="5">
        <f t="shared" si="39"/>
        <v>2549.32</v>
      </c>
      <c r="P339" s="8">
        <f t="shared" si="40"/>
        <v>25.0926707888681</v>
      </c>
      <c r="Q339" s="3" t="str">
        <f t="shared" si="41"/>
        <v>2025-04</v>
      </c>
    </row>
    <row r="340" customHeight="1" spans="1:17">
      <c r="A340" s="3" t="str">
        <f>Raw_Data!A340</f>
        <v>C0006</v>
      </c>
      <c r="B340" s="4">
        <f>Raw_Data!B340</f>
        <v>45764</v>
      </c>
      <c r="C340" s="3" t="str">
        <f>Raw_Data!C340</f>
        <v>Instagram</v>
      </c>
      <c r="D340" s="3" t="str">
        <f>Raw_Data!D340</f>
        <v>South</v>
      </c>
      <c r="E340" s="5">
        <f>Raw_Data!E340</f>
        <v>4283.83</v>
      </c>
      <c r="F340" s="5">
        <f>Raw_Data!F340</f>
        <v>3818.06</v>
      </c>
      <c r="G340" s="3">
        <f>Raw_Data!G340</f>
        <v>127588</v>
      </c>
      <c r="H340" s="3">
        <f>Raw_Data!H340</f>
        <v>5087</v>
      </c>
      <c r="I340" s="3">
        <f>Raw_Data!I340</f>
        <v>842</v>
      </c>
      <c r="J340" s="5">
        <f>Raw_Data!J340</f>
        <v>30095.35</v>
      </c>
      <c r="K340" s="6">
        <f t="shared" si="35"/>
        <v>0.0398705207386275</v>
      </c>
      <c r="L340" s="5">
        <f t="shared" si="36"/>
        <v>0.750552388441124</v>
      </c>
      <c r="M340" s="5">
        <f t="shared" si="37"/>
        <v>4.53451306413302</v>
      </c>
      <c r="N340" s="7">
        <f t="shared" si="38"/>
        <v>7.88236696123162</v>
      </c>
      <c r="O340" s="5">
        <f t="shared" si="39"/>
        <v>26277.29</v>
      </c>
      <c r="P340" s="8">
        <f t="shared" si="40"/>
        <v>87.3134554009174</v>
      </c>
      <c r="Q340" s="3" t="str">
        <f t="shared" si="41"/>
        <v>2025-04</v>
      </c>
    </row>
    <row r="341" customHeight="1" spans="1:17">
      <c r="A341" s="3" t="str">
        <f>Raw_Data!A341</f>
        <v>C0363</v>
      </c>
      <c r="B341" s="4">
        <f>Raw_Data!B341</f>
        <v>45765</v>
      </c>
      <c r="C341" s="3" t="str">
        <f>Raw_Data!C341</f>
        <v>Twitter</v>
      </c>
      <c r="D341" s="3" t="str">
        <f>Raw_Data!D341</f>
        <v>West</v>
      </c>
      <c r="E341" s="5">
        <f>Raw_Data!E341</f>
        <v>7293.88</v>
      </c>
      <c r="F341" s="5">
        <f>Raw_Data!F341</f>
        <v>6200.6</v>
      </c>
      <c r="G341" s="3">
        <f>Raw_Data!G341</f>
        <v>53430</v>
      </c>
      <c r="H341" s="3">
        <f>Raw_Data!H341</f>
        <v>2126</v>
      </c>
      <c r="I341" s="3">
        <f>Raw_Data!I341</f>
        <v>397</v>
      </c>
      <c r="J341" s="5">
        <f>Raw_Data!J341</f>
        <v>19744.82</v>
      </c>
      <c r="K341" s="6">
        <f t="shared" si="35"/>
        <v>0.0397903799363653</v>
      </c>
      <c r="L341" s="5">
        <f t="shared" si="36"/>
        <v>2.91655691439323</v>
      </c>
      <c r="M341" s="5">
        <f t="shared" si="37"/>
        <v>15.6186397984887</v>
      </c>
      <c r="N341" s="7">
        <f t="shared" si="38"/>
        <v>3.1843402251395</v>
      </c>
      <c r="O341" s="5">
        <f t="shared" si="39"/>
        <v>13544.22</v>
      </c>
      <c r="P341" s="8">
        <f t="shared" si="40"/>
        <v>68.5963204526554</v>
      </c>
      <c r="Q341" s="3" t="str">
        <f t="shared" si="41"/>
        <v>2025-04</v>
      </c>
    </row>
    <row r="342" customHeight="1" spans="1:17">
      <c r="A342" s="3" t="str">
        <f>Raw_Data!A342</f>
        <v>C0185</v>
      </c>
      <c r="B342" s="4">
        <f>Raw_Data!B342</f>
        <v>45765</v>
      </c>
      <c r="C342" s="3" t="str">
        <f>Raw_Data!C342</f>
        <v>Google Ads</v>
      </c>
      <c r="D342" s="3" t="str">
        <f>Raw_Data!D342</f>
        <v>South</v>
      </c>
      <c r="E342" s="5">
        <f>Raw_Data!E342</f>
        <v>6863.35</v>
      </c>
      <c r="F342" s="5">
        <f>Raw_Data!F342</f>
        <v>6645.65</v>
      </c>
      <c r="G342" s="3">
        <f>Raw_Data!G342</f>
        <v>130705</v>
      </c>
      <c r="H342" s="3">
        <f>Raw_Data!H342</f>
        <v>4818</v>
      </c>
      <c r="I342" s="3">
        <f>Raw_Data!I342</f>
        <v>159</v>
      </c>
      <c r="J342" s="5">
        <f>Raw_Data!J342</f>
        <v>7361.64</v>
      </c>
      <c r="K342" s="6">
        <f t="shared" si="35"/>
        <v>0.0368616349795341</v>
      </c>
      <c r="L342" s="5">
        <f t="shared" si="36"/>
        <v>1.37933789954338</v>
      </c>
      <c r="M342" s="5">
        <f t="shared" si="37"/>
        <v>41.7965408805031</v>
      </c>
      <c r="N342" s="7">
        <f t="shared" si="38"/>
        <v>1.10773814450054</v>
      </c>
      <c r="O342" s="5">
        <f t="shared" si="39"/>
        <v>715.990000000001</v>
      </c>
      <c r="P342" s="8">
        <f t="shared" si="40"/>
        <v>9.72595780288089</v>
      </c>
      <c r="Q342" s="3" t="str">
        <f t="shared" si="41"/>
        <v>2025-04</v>
      </c>
    </row>
    <row r="343" customHeight="1" spans="1:17">
      <c r="A343" s="3" t="str">
        <f>Raw_Data!A343</f>
        <v>C0262</v>
      </c>
      <c r="B343" s="4">
        <f>Raw_Data!B343</f>
        <v>45765</v>
      </c>
      <c r="C343" s="3" t="str">
        <f>Raw_Data!C343</f>
        <v>Google Ads</v>
      </c>
      <c r="D343" s="3" t="str">
        <f>Raw_Data!D343</f>
        <v>West</v>
      </c>
      <c r="E343" s="5">
        <f>Raw_Data!E343</f>
        <v>5419.87</v>
      </c>
      <c r="F343" s="5">
        <f>Raw_Data!F343</f>
        <v>4631.17</v>
      </c>
      <c r="G343" s="3">
        <f>Raw_Data!G343</f>
        <v>190925</v>
      </c>
      <c r="H343" s="3">
        <f>Raw_Data!H343</f>
        <v>4618</v>
      </c>
      <c r="I343" s="3">
        <f>Raw_Data!I343</f>
        <v>144</v>
      </c>
      <c r="J343" s="5">
        <f>Raw_Data!J343</f>
        <v>6804.51</v>
      </c>
      <c r="K343" s="6">
        <f t="shared" si="35"/>
        <v>0.0241875081838418</v>
      </c>
      <c r="L343" s="5">
        <f t="shared" si="36"/>
        <v>1.00285188393244</v>
      </c>
      <c r="M343" s="5">
        <f t="shared" si="37"/>
        <v>32.1609027777778</v>
      </c>
      <c r="N343" s="7">
        <f t="shared" si="38"/>
        <v>1.46928529939519</v>
      </c>
      <c r="O343" s="5">
        <f t="shared" si="39"/>
        <v>2173.34</v>
      </c>
      <c r="P343" s="8">
        <f t="shared" si="40"/>
        <v>31.939698817402</v>
      </c>
      <c r="Q343" s="3" t="str">
        <f t="shared" si="41"/>
        <v>2025-04</v>
      </c>
    </row>
    <row r="344" customHeight="1" spans="1:17">
      <c r="A344" s="3" t="str">
        <f>Raw_Data!A344</f>
        <v>C0439</v>
      </c>
      <c r="B344" s="4">
        <f>Raw_Data!B344</f>
        <v>45765</v>
      </c>
      <c r="C344" s="3" t="str">
        <f>Raw_Data!C344</f>
        <v>LinkedIn</v>
      </c>
      <c r="D344" s="3" t="str">
        <f>Raw_Data!D344</f>
        <v>West</v>
      </c>
      <c r="E344" s="5">
        <f>Raw_Data!E344</f>
        <v>6166.23</v>
      </c>
      <c r="F344" s="5">
        <f>Raw_Data!F344</f>
        <v>6123.52</v>
      </c>
      <c r="G344" s="3">
        <f>Raw_Data!G344</f>
        <v>136413</v>
      </c>
      <c r="H344" s="3">
        <f>Raw_Data!H344</f>
        <v>3434</v>
      </c>
      <c r="I344" s="3">
        <f>Raw_Data!I344</f>
        <v>635</v>
      </c>
      <c r="J344" s="5">
        <f>Raw_Data!J344</f>
        <v>22727.97</v>
      </c>
      <c r="K344" s="6">
        <f t="shared" si="35"/>
        <v>0.0251735538401765</v>
      </c>
      <c r="L344" s="5">
        <f t="shared" si="36"/>
        <v>1.78320326150262</v>
      </c>
      <c r="M344" s="5">
        <f t="shared" si="37"/>
        <v>9.64333858267717</v>
      </c>
      <c r="N344" s="7">
        <f t="shared" si="38"/>
        <v>3.71158581992057</v>
      </c>
      <c r="O344" s="5">
        <f t="shared" si="39"/>
        <v>16604.45</v>
      </c>
      <c r="P344" s="8">
        <f t="shared" si="40"/>
        <v>73.0573386008517</v>
      </c>
      <c r="Q344" s="3" t="str">
        <f t="shared" si="41"/>
        <v>2025-04</v>
      </c>
    </row>
    <row r="345" customHeight="1" spans="1:17">
      <c r="A345" s="3" t="str">
        <f>Raw_Data!A345</f>
        <v>C0177</v>
      </c>
      <c r="B345" s="4">
        <f>Raw_Data!B345</f>
        <v>45766</v>
      </c>
      <c r="C345" s="3" t="str">
        <f>Raw_Data!C345</f>
        <v>Facebook</v>
      </c>
      <c r="D345" s="3" t="str">
        <f>Raw_Data!D345</f>
        <v>North</v>
      </c>
      <c r="E345" s="5">
        <f>Raw_Data!E345</f>
        <v>3394.63</v>
      </c>
      <c r="F345" s="5">
        <f>Raw_Data!F345</f>
        <v>3596.33</v>
      </c>
      <c r="G345" s="3">
        <f>Raw_Data!G345</f>
        <v>114949</v>
      </c>
      <c r="H345" s="3">
        <f>Raw_Data!H345</f>
        <v>3456</v>
      </c>
      <c r="I345" s="3">
        <f>Raw_Data!I345</f>
        <v>294</v>
      </c>
      <c r="J345" s="5">
        <f>Raw_Data!J345</f>
        <v>13049.79</v>
      </c>
      <c r="K345" s="6">
        <f t="shared" si="35"/>
        <v>0.0300655073119383</v>
      </c>
      <c r="L345" s="5">
        <f t="shared" si="36"/>
        <v>1.04060474537037</v>
      </c>
      <c r="M345" s="5">
        <f t="shared" si="37"/>
        <v>12.2324149659864</v>
      </c>
      <c r="N345" s="7">
        <f t="shared" si="38"/>
        <v>3.6286408644368</v>
      </c>
      <c r="O345" s="5">
        <f t="shared" si="39"/>
        <v>9453.46</v>
      </c>
      <c r="P345" s="8">
        <f t="shared" si="40"/>
        <v>72.4414722382506</v>
      </c>
      <c r="Q345" s="3" t="str">
        <f t="shared" si="41"/>
        <v>2025-04</v>
      </c>
    </row>
    <row r="346" customHeight="1" spans="1:17">
      <c r="A346" s="3" t="str">
        <f>Raw_Data!A346</f>
        <v>C0088</v>
      </c>
      <c r="B346" s="4">
        <f>Raw_Data!B346</f>
        <v>45766</v>
      </c>
      <c r="C346" s="3" t="str">
        <f>Raw_Data!C346</f>
        <v>Instagram</v>
      </c>
      <c r="D346" s="3" t="str">
        <f>Raw_Data!D346</f>
        <v>North</v>
      </c>
      <c r="E346" s="5">
        <f>Raw_Data!E346</f>
        <v>9930.38</v>
      </c>
      <c r="F346" s="5">
        <f>Raw_Data!F346</f>
        <v>8361.63</v>
      </c>
      <c r="G346" s="3">
        <f>Raw_Data!G346</f>
        <v>155967</v>
      </c>
      <c r="H346" s="3">
        <f>Raw_Data!H346</f>
        <v>1655</v>
      </c>
      <c r="I346" s="3">
        <f>Raw_Data!I346</f>
        <v>74</v>
      </c>
      <c r="J346" s="5">
        <f>Raw_Data!J346</f>
        <v>2630.69</v>
      </c>
      <c r="K346" s="6">
        <f t="shared" si="35"/>
        <v>0.0106112190399251</v>
      </c>
      <c r="L346" s="5">
        <f t="shared" si="36"/>
        <v>5.05234441087613</v>
      </c>
      <c r="M346" s="5">
        <f t="shared" si="37"/>
        <v>112.995</v>
      </c>
      <c r="N346" s="7">
        <f t="shared" si="38"/>
        <v>0.314614495020708</v>
      </c>
      <c r="O346" s="5">
        <f t="shared" si="39"/>
        <v>-5730.94</v>
      </c>
      <c r="P346" s="8">
        <f t="shared" si="40"/>
        <v>-217.849309496748</v>
      </c>
      <c r="Q346" s="3" t="str">
        <f t="shared" si="41"/>
        <v>2025-04</v>
      </c>
    </row>
    <row r="347" customHeight="1" spans="1:17">
      <c r="A347" s="3" t="str">
        <f>Raw_Data!A347</f>
        <v>C0126</v>
      </c>
      <c r="B347" s="4">
        <f>Raw_Data!B347</f>
        <v>45766</v>
      </c>
      <c r="C347" s="3" t="str">
        <f>Raw_Data!C347</f>
        <v>Instagram</v>
      </c>
      <c r="D347" s="3" t="str">
        <f>Raw_Data!D347</f>
        <v>North</v>
      </c>
      <c r="E347" s="5">
        <f>Raw_Data!E347</f>
        <v>5232.83</v>
      </c>
      <c r="F347" s="5">
        <f>Raw_Data!F347</f>
        <v>5512.59</v>
      </c>
      <c r="G347" s="3">
        <f>Raw_Data!G347</f>
        <v>139628</v>
      </c>
      <c r="H347" s="3">
        <f>Raw_Data!H347</f>
        <v>1738</v>
      </c>
      <c r="I347" s="3">
        <f>Raw_Data!I347</f>
        <v>81</v>
      </c>
      <c r="J347" s="5">
        <f>Raw_Data!J347</f>
        <v>1676.55</v>
      </c>
      <c r="K347" s="6">
        <f t="shared" si="35"/>
        <v>0.012447360128341</v>
      </c>
      <c r="L347" s="5">
        <f t="shared" si="36"/>
        <v>3.17180092059839</v>
      </c>
      <c r="M347" s="5">
        <f t="shared" si="37"/>
        <v>68.0566666666667</v>
      </c>
      <c r="N347" s="7">
        <f t="shared" si="38"/>
        <v>0.304131089016234</v>
      </c>
      <c r="O347" s="5">
        <f t="shared" si="39"/>
        <v>-3836.04</v>
      </c>
      <c r="P347" s="8">
        <f t="shared" si="40"/>
        <v>-228.805582893442</v>
      </c>
      <c r="Q347" s="3" t="str">
        <f t="shared" si="41"/>
        <v>2025-04</v>
      </c>
    </row>
    <row r="348" customHeight="1" spans="1:17">
      <c r="A348" s="3" t="str">
        <f>Raw_Data!A348</f>
        <v>C0379</v>
      </c>
      <c r="B348" s="4">
        <f>Raw_Data!B348</f>
        <v>45766</v>
      </c>
      <c r="C348" s="3" t="str">
        <f>Raw_Data!C348</f>
        <v>Twitter</v>
      </c>
      <c r="D348" s="3" t="str">
        <f>Raw_Data!D348</f>
        <v>West</v>
      </c>
      <c r="E348" s="5">
        <f>Raw_Data!E348</f>
        <v>7782.81</v>
      </c>
      <c r="F348" s="5">
        <f>Raw_Data!F348</f>
        <v>6404</v>
      </c>
      <c r="G348" s="3">
        <f>Raw_Data!G348</f>
        <v>115837</v>
      </c>
      <c r="H348" s="3">
        <f>Raw_Data!H348</f>
        <v>5035</v>
      </c>
      <c r="I348" s="3">
        <f>Raw_Data!I348</f>
        <v>407</v>
      </c>
      <c r="J348" s="5">
        <f>Raw_Data!J348</f>
        <v>18533.24</v>
      </c>
      <c r="K348" s="6">
        <f t="shared" si="35"/>
        <v>0.043466249989209</v>
      </c>
      <c r="L348" s="5">
        <f t="shared" si="36"/>
        <v>1.27189672293942</v>
      </c>
      <c r="M348" s="5">
        <f t="shared" si="37"/>
        <v>15.7346437346437</v>
      </c>
      <c r="N348" s="7">
        <f t="shared" si="38"/>
        <v>2.8940099937539</v>
      </c>
      <c r="O348" s="5">
        <f t="shared" si="39"/>
        <v>12129.24</v>
      </c>
      <c r="P348" s="8">
        <f t="shared" si="40"/>
        <v>65.445869151859</v>
      </c>
      <c r="Q348" s="3" t="str">
        <f t="shared" si="41"/>
        <v>2025-04</v>
      </c>
    </row>
    <row r="349" customHeight="1" spans="1:17">
      <c r="A349" s="3" t="str">
        <f>Raw_Data!A349</f>
        <v>C0024</v>
      </c>
      <c r="B349" s="4">
        <f>Raw_Data!B349</f>
        <v>45766</v>
      </c>
      <c r="C349" s="3" t="str">
        <f>Raw_Data!C349</f>
        <v>Instagram</v>
      </c>
      <c r="D349" s="3" t="str">
        <f>Raw_Data!D349</f>
        <v>South</v>
      </c>
      <c r="E349" s="5">
        <f>Raw_Data!E349</f>
        <v>9908.21</v>
      </c>
      <c r="F349" s="5">
        <f>Raw_Data!F349</f>
        <v>10222.04</v>
      </c>
      <c r="G349" s="3">
        <f>Raw_Data!G349</f>
        <v>133918</v>
      </c>
      <c r="H349" s="3">
        <f>Raw_Data!H349</f>
        <v>4771</v>
      </c>
      <c r="I349" s="3">
        <f>Raw_Data!I349</f>
        <v>266</v>
      </c>
      <c r="J349" s="5">
        <f>Raw_Data!J349</f>
        <v>6905.75</v>
      </c>
      <c r="K349" s="6">
        <f t="shared" si="35"/>
        <v>0.0356262787676041</v>
      </c>
      <c r="L349" s="5">
        <f t="shared" si="36"/>
        <v>2.14253615594215</v>
      </c>
      <c r="M349" s="5">
        <f t="shared" si="37"/>
        <v>38.4287218045113</v>
      </c>
      <c r="N349" s="7">
        <f t="shared" si="38"/>
        <v>0.675574542850546</v>
      </c>
      <c r="O349" s="5">
        <f t="shared" si="39"/>
        <v>-3316.29</v>
      </c>
      <c r="P349" s="8">
        <f t="shared" si="40"/>
        <v>-48.0221554501684</v>
      </c>
      <c r="Q349" s="3" t="str">
        <f t="shared" si="41"/>
        <v>2025-04</v>
      </c>
    </row>
    <row r="350" customHeight="1" spans="1:17">
      <c r="A350" s="3" t="str">
        <f>Raw_Data!A350</f>
        <v>C0398</v>
      </c>
      <c r="B350" s="4">
        <f>Raw_Data!B350</f>
        <v>45767</v>
      </c>
      <c r="C350" s="3" t="str">
        <f>Raw_Data!C350</f>
        <v>Instagram</v>
      </c>
      <c r="D350" s="3" t="str">
        <f>Raw_Data!D350</f>
        <v>East</v>
      </c>
      <c r="E350" s="5">
        <f>Raw_Data!E350</f>
        <v>7075.19</v>
      </c>
      <c r="F350" s="5">
        <f>Raw_Data!F350</f>
        <v>6394.31</v>
      </c>
      <c r="G350" s="3">
        <f>Raw_Data!G350</f>
        <v>193477</v>
      </c>
      <c r="H350" s="3">
        <f>Raw_Data!H350</f>
        <v>8585</v>
      </c>
      <c r="I350" s="3">
        <f>Raw_Data!I350</f>
        <v>591</v>
      </c>
      <c r="J350" s="5">
        <f>Raw_Data!J350</f>
        <v>22828.83</v>
      </c>
      <c r="K350" s="6">
        <f t="shared" si="35"/>
        <v>0.0443721992795009</v>
      </c>
      <c r="L350" s="5">
        <f t="shared" si="36"/>
        <v>0.744823529411765</v>
      </c>
      <c r="M350" s="5">
        <f t="shared" si="37"/>
        <v>10.819475465313</v>
      </c>
      <c r="N350" s="7">
        <f t="shared" si="38"/>
        <v>3.57017879958901</v>
      </c>
      <c r="O350" s="5">
        <f t="shared" si="39"/>
        <v>16434.52</v>
      </c>
      <c r="P350" s="8">
        <f t="shared" si="40"/>
        <v>71.9901983588296</v>
      </c>
      <c r="Q350" s="3" t="str">
        <f t="shared" si="41"/>
        <v>2025-04</v>
      </c>
    </row>
    <row r="351" customHeight="1" spans="1:17">
      <c r="A351" s="3" t="str">
        <f>Raw_Data!A351</f>
        <v>C0312</v>
      </c>
      <c r="B351" s="4">
        <f>Raw_Data!B351</f>
        <v>45767</v>
      </c>
      <c r="C351" s="3" t="str">
        <f>Raw_Data!C351</f>
        <v>Instagram</v>
      </c>
      <c r="D351" s="3" t="str">
        <f>Raw_Data!D351</f>
        <v>West</v>
      </c>
      <c r="E351" s="5">
        <f>Raw_Data!E351</f>
        <v>6679.83</v>
      </c>
      <c r="F351" s="5">
        <f>Raw_Data!F351</f>
        <v>5687.9</v>
      </c>
      <c r="G351" s="3">
        <f>Raw_Data!G351</f>
        <v>197509</v>
      </c>
      <c r="H351" s="3">
        <f>Raw_Data!H351</f>
        <v>8448</v>
      </c>
      <c r="I351" s="3">
        <f>Raw_Data!I351</f>
        <v>669</v>
      </c>
      <c r="J351" s="5">
        <f>Raw_Data!J351</f>
        <v>18845.21</v>
      </c>
      <c r="K351" s="6">
        <f t="shared" si="35"/>
        <v>0.0427727344070397</v>
      </c>
      <c r="L351" s="5">
        <f t="shared" si="36"/>
        <v>0.673283617424242</v>
      </c>
      <c r="M351" s="5">
        <f t="shared" si="37"/>
        <v>8.50209267563528</v>
      </c>
      <c r="N351" s="7">
        <f t="shared" si="38"/>
        <v>3.31321049948135</v>
      </c>
      <c r="O351" s="5">
        <f t="shared" si="39"/>
        <v>13157.31</v>
      </c>
      <c r="P351" s="8">
        <f t="shared" si="40"/>
        <v>69.8177945483229</v>
      </c>
      <c r="Q351" s="3" t="str">
        <f t="shared" si="41"/>
        <v>2025-04</v>
      </c>
    </row>
    <row r="352" customHeight="1" spans="1:17">
      <c r="A352" s="3" t="str">
        <f>Raw_Data!A352</f>
        <v>C0094</v>
      </c>
      <c r="B352" s="4">
        <f>Raw_Data!B352</f>
        <v>45767</v>
      </c>
      <c r="C352" s="3" t="str">
        <f>Raw_Data!C352</f>
        <v>Facebook</v>
      </c>
      <c r="D352" s="3" t="str">
        <f>Raw_Data!D352</f>
        <v>West</v>
      </c>
      <c r="E352" s="5">
        <f>Raw_Data!E352</f>
        <v>8570.55</v>
      </c>
      <c r="F352" s="5">
        <f>Raw_Data!F352</f>
        <v>9144.79</v>
      </c>
      <c r="G352" s="3">
        <f>Raw_Data!G352</f>
        <v>103318</v>
      </c>
      <c r="H352" s="3">
        <f>Raw_Data!H352</f>
        <v>2013</v>
      </c>
      <c r="I352" s="3">
        <f>Raw_Data!I352</f>
        <v>80</v>
      </c>
      <c r="J352" s="5">
        <f>Raw_Data!J352</f>
        <v>2411.19</v>
      </c>
      <c r="K352" s="6">
        <f t="shared" si="35"/>
        <v>0.0194835362666718</v>
      </c>
      <c r="L352" s="5">
        <f t="shared" si="36"/>
        <v>4.54286636860407</v>
      </c>
      <c r="M352" s="5">
        <f t="shared" si="37"/>
        <v>114.309875</v>
      </c>
      <c r="N352" s="7">
        <f t="shared" si="38"/>
        <v>0.263668165151961</v>
      </c>
      <c r="O352" s="5">
        <f t="shared" si="39"/>
        <v>-6733.6</v>
      </c>
      <c r="P352" s="8">
        <f t="shared" si="40"/>
        <v>-279.264595490194</v>
      </c>
      <c r="Q352" s="3" t="str">
        <f t="shared" si="41"/>
        <v>2025-04</v>
      </c>
    </row>
    <row r="353" customHeight="1" spans="1:17">
      <c r="A353" s="3" t="str">
        <f>Raw_Data!A353</f>
        <v>C0355</v>
      </c>
      <c r="B353" s="4">
        <f>Raw_Data!B353</f>
        <v>45767</v>
      </c>
      <c r="C353" s="3" t="str">
        <f>Raw_Data!C353</f>
        <v>Instagram</v>
      </c>
      <c r="D353" s="3" t="str">
        <f>Raw_Data!D353</f>
        <v>West</v>
      </c>
      <c r="E353" s="5">
        <f>Raw_Data!E353</f>
        <v>8377.91</v>
      </c>
      <c r="F353" s="5">
        <f>Raw_Data!F353</f>
        <v>7752.33</v>
      </c>
      <c r="G353" s="3">
        <f>Raw_Data!G353</f>
        <v>194762</v>
      </c>
      <c r="H353" s="3">
        <f>Raw_Data!H353</f>
        <v>1009</v>
      </c>
      <c r="I353" s="3">
        <f>Raw_Data!I353</f>
        <v>129</v>
      </c>
      <c r="J353" s="5">
        <f>Raw_Data!J353</f>
        <v>4210.65</v>
      </c>
      <c r="K353" s="6">
        <f t="shared" si="35"/>
        <v>0.00518068206323615</v>
      </c>
      <c r="L353" s="5">
        <f t="shared" si="36"/>
        <v>7.68318136769078</v>
      </c>
      <c r="M353" s="5">
        <f t="shared" si="37"/>
        <v>60.0955813953488</v>
      </c>
      <c r="N353" s="7">
        <f t="shared" si="38"/>
        <v>0.543146383087407</v>
      </c>
      <c r="O353" s="5">
        <f t="shared" si="39"/>
        <v>-3541.68</v>
      </c>
      <c r="P353" s="8">
        <f t="shared" si="40"/>
        <v>-84.1124291973923</v>
      </c>
      <c r="Q353" s="3" t="str">
        <f t="shared" si="41"/>
        <v>2025-04</v>
      </c>
    </row>
    <row r="354" customHeight="1" spans="1:17">
      <c r="A354" s="3" t="str">
        <f>Raw_Data!A354</f>
        <v>C0273</v>
      </c>
      <c r="B354" s="4">
        <f>Raw_Data!B354</f>
        <v>45768</v>
      </c>
      <c r="C354" s="3" t="str">
        <f>Raw_Data!C354</f>
        <v>LinkedIn</v>
      </c>
      <c r="D354" s="3" t="str">
        <f>Raw_Data!D354</f>
        <v>North</v>
      </c>
      <c r="E354" s="5">
        <f>Raw_Data!E354</f>
        <v>7138.93</v>
      </c>
      <c r="F354" s="5">
        <f>Raw_Data!F354</f>
        <v>6565.68</v>
      </c>
      <c r="G354" s="3">
        <f>Raw_Data!G354</f>
        <v>52499</v>
      </c>
      <c r="H354" s="3">
        <f>Raw_Data!H354</f>
        <v>1190</v>
      </c>
      <c r="I354" s="3">
        <f>Raw_Data!I354</f>
        <v>108</v>
      </c>
      <c r="J354" s="5">
        <f>Raw_Data!J354</f>
        <v>2337.43</v>
      </c>
      <c r="K354" s="6">
        <f t="shared" si="35"/>
        <v>0.0226670984209223</v>
      </c>
      <c r="L354" s="5">
        <f t="shared" si="36"/>
        <v>5.5173781512605</v>
      </c>
      <c r="M354" s="5">
        <f t="shared" si="37"/>
        <v>60.7933333333333</v>
      </c>
      <c r="N354" s="7">
        <f t="shared" si="38"/>
        <v>0.356007298558565</v>
      </c>
      <c r="O354" s="5">
        <f t="shared" si="39"/>
        <v>-4228.25</v>
      </c>
      <c r="P354" s="8">
        <f t="shared" si="40"/>
        <v>-180.89311765486</v>
      </c>
      <c r="Q354" s="3" t="str">
        <f t="shared" si="41"/>
        <v>2025-04</v>
      </c>
    </row>
    <row r="355" customHeight="1" spans="1:17">
      <c r="A355" s="3" t="str">
        <f>Raw_Data!A355</f>
        <v>C0467</v>
      </c>
      <c r="B355" s="4">
        <f>Raw_Data!B355</f>
        <v>45768</v>
      </c>
      <c r="C355" s="3" t="str">
        <f>Raw_Data!C355</f>
        <v>LinkedIn</v>
      </c>
      <c r="D355" s="3" t="str">
        <f>Raw_Data!D355</f>
        <v>West</v>
      </c>
      <c r="E355" s="5">
        <f>Raw_Data!E355</f>
        <v>7320.01</v>
      </c>
      <c r="F355" s="5">
        <f>Raw_Data!F355</f>
        <v>7408.09</v>
      </c>
      <c r="G355" s="3">
        <f>Raw_Data!G355</f>
        <v>142900</v>
      </c>
      <c r="H355" s="3">
        <f>Raw_Data!H355</f>
        <v>3707</v>
      </c>
      <c r="I355" s="3">
        <f>Raw_Data!I355</f>
        <v>151</v>
      </c>
      <c r="J355" s="5">
        <f>Raw_Data!J355</f>
        <v>3776.7</v>
      </c>
      <c r="K355" s="6">
        <f t="shared" si="35"/>
        <v>0.0259412176347096</v>
      </c>
      <c r="L355" s="5">
        <f t="shared" si="36"/>
        <v>1.99840571891017</v>
      </c>
      <c r="M355" s="5">
        <f t="shared" si="37"/>
        <v>49.0601986754967</v>
      </c>
      <c r="N355" s="7">
        <f t="shared" si="38"/>
        <v>0.509807521236918</v>
      </c>
      <c r="O355" s="5">
        <f t="shared" si="39"/>
        <v>-3631.39</v>
      </c>
      <c r="P355" s="8">
        <f t="shared" si="40"/>
        <v>-96.1524611433262</v>
      </c>
      <c r="Q355" s="3" t="str">
        <f t="shared" si="41"/>
        <v>2025-04</v>
      </c>
    </row>
    <row r="356" customHeight="1" spans="1:17">
      <c r="A356" s="3" t="str">
        <f>Raw_Data!A356</f>
        <v>C0178</v>
      </c>
      <c r="B356" s="4">
        <f>Raw_Data!B356</f>
        <v>45768</v>
      </c>
      <c r="C356" s="3" t="str">
        <f>Raw_Data!C356</f>
        <v>Facebook</v>
      </c>
      <c r="D356" s="3" t="str">
        <f>Raw_Data!D356</f>
        <v>North</v>
      </c>
      <c r="E356" s="5">
        <f>Raw_Data!E356</f>
        <v>9998.02</v>
      </c>
      <c r="F356" s="5">
        <f>Raw_Data!F356</f>
        <v>10987.73</v>
      </c>
      <c r="G356" s="3">
        <f>Raw_Data!G356</f>
        <v>128670</v>
      </c>
      <c r="H356" s="3">
        <f>Raw_Data!H356</f>
        <v>4786</v>
      </c>
      <c r="I356" s="3">
        <f>Raw_Data!I356</f>
        <v>820</v>
      </c>
      <c r="J356" s="5">
        <f>Raw_Data!J356</f>
        <v>30063.62</v>
      </c>
      <c r="K356" s="6">
        <f t="shared" si="35"/>
        <v>0.0371959275666434</v>
      </c>
      <c r="L356" s="5">
        <f t="shared" si="36"/>
        <v>2.29580651901379</v>
      </c>
      <c r="M356" s="5">
        <f t="shared" si="37"/>
        <v>13.3996707317073</v>
      </c>
      <c r="N356" s="7">
        <f t="shared" si="38"/>
        <v>2.73610836815248</v>
      </c>
      <c r="O356" s="5">
        <f t="shared" si="39"/>
        <v>19075.89</v>
      </c>
      <c r="P356" s="8">
        <f t="shared" si="40"/>
        <v>63.4517400100188</v>
      </c>
      <c r="Q356" s="3" t="str">
        <f t="shared" si="41"/>
        <v>2025-04</v>
      </c>
    </row>
    <row r="357" customHeight="1" spans="1:17">
      <c r="A357" s="3" t="str">
        <f>Raw_Data!A357</f>
        <v>C0031</v>
      </c>
      <c r="B357" s="4">
        <f>Raw_Data!B357</f>
        <v>45768</v>
      </c>
      <c r="C357" s="3" t="str">
        <f>Raw_Data!C357</f>
        <v>Google Ads</v>
      </c>
      <c r="D357" s="3" t="str">
        <f>Raw_Data!D357</f>
        <v>North</v>
      </c>
      <c r="E357" s="5">
        <f>Raw_Data!E357</f>
        <v>3837.16</v>
      </c>
      <c r="F357" s="5">
        <f>Raw_Data!F357</f>
        <v>3890.78</v>
      </c>
      <c r="G357" s="3">
        <f>Raw_Data!G357</f>
        <v>69783</v>
      </c>
      <c r="H357" s="3">
        <f>Raw_Data!H357</f>
        <v>2886</v>
      </c>
      <c r="I357" s="3">
        <f>Raw_Data!I357</f>
        <v>227</v>
      </c>
      <c r="J357" s="5">
        <f>Raw_Data!J357</f>
        <v>9720.95</v>
      </c>
      <c r="K357" s="6">
        <f t="shared" si="35"/>
        <v>0.0413567774386312</v>
      </c>
      <c r="L357" s="5">
        <f t="shared" si="36"/>
        <v>1.34815661815662</v>
      </c>
      <c r="M357" s="5">
        <f t="shared" si="37"/>
        <v>17.14</v>
      </c>
      <c r="N357" s="7">
        <f t="shared" si="38"/>
        <v>2.49845789276186</v>
      </c>
      <c r="O357" s="5">
        <f t="shared" si="39"/>
        <v>5830.17</v>
      </c>
      <c r="P357" s="8">
        <f t="shared" si="40"/>
        <v>59.9753110549895</v>
      </c>
      <c r="Q357" s="3" t="str">
        <f t="shared" si="41"/>
        <v>2025-04</v>
      </c>
    </row>
    <row r="358" customHeight="1" spans="1:17">
      <c r="A358" s="3" t="str">
        <f>Raw_Data!A358</f>
        <v>C0432</v>
      </c>
      <c r="B358" s="4">
        <f>Raw_Data!B358</f>
        <v>45768</v>
      </c>
      <c r="C358" s="3" t="str">
        <f>Raw_Data!C358</f>
        <v>Google Ads</v>
      </c>
      <c r="D358" s="3" t="str">
        <f>Raw_Data!D358</f>
        <v>North</v>
      </c>
      <c r="E358" s="5">
        <f>Raw_Data!E358</f>
        <v>7826.25</v>
      </c>
      <c r="F358" s="5">
        <f>Raw_Data!F358</f>
        <v>8140.68</v>
      </c>
      <c r="G358" s="3">
        <f>Raw_Data!G358</f>
        <v>180765</v>
      </c>
      <c r="H358" s="3">
        <f>Raw_Data!H358</f>
        <v>5270</v>
      </c>
      <c r="I358" s="3">
        <f>Raw_Data!I358</f>
        <v>513</v>
      </c>
      <c r="J358" s="5">
        <f>Raw_Data!J358</f>
        <v>13340.31</v>
      </c>
      <c r="K358" s="6">
        <f t="shared" si="35"/>
        <v>0.029153873814068</v>
      </c>
      <c r="L358" s="5">
        <f t="shared" si="36"/>
        <v>1.5447210626186</v>
      </c>
      <c r="M358" s="5">
        <f t="shared" si="37"/>
        <v>15.8687719298246</v>
      </c>
      <c r="N358" s="7">
        <f t="shared" si="38"/>
        <v>1.63872182667787</v>
      </c>
      <c r="O358" s="5">
        <f t="shared" si="39"/>
        <v>5199.63</v>
      </c>
      <c r="P358" s="8">
        <f t="shared" si="40"/>
        <v>38.9768303735071</v>
      </c>
      <c r="Q358" s="3" t="str">
        <f t="shared" si="41"/>
        <v>2025-04</v>
      </c>
    </row>
    <row r="359" customHeight="1" spans="1:17">
      <c r="A359" s="3" t="str">
        <f>Raw_Data!A359</f>
        <v>C0207</v>
      </c>
      <c r="B359" s="4">
        <f>Raw_Data!B359</f>
        <v>45769</v>
      </c>
      <c r="C359" s="3" t="str">
        <f>Raw_Data!C359</f>
        <v>Twitter</v>
      </c>
      <c r="D359" s="3" t="str">
        <f>Raw_Data!D359</f>
        <v>West</v>
      </c>
      <c r="E359" s="5">
        <f>Raw_Data!E359</f>
        <v>8643.41</v>
      </c>
      <c r="F359" s="5">
        <f>Raw_Data!F359</f>
        <v>8854.98</v>
      </c>
      <c r="G359" s="3">
        <f>Raw_Data!G359</f>
        <v>114026</v>
      </c>
      <c r="H359" s="3">
        <f>Raw_Data!H359</f>
        <v>4773</v>
      </c>
      <c r="I359" s="3">
        <f>Raw_Data!I359</f>
        <v>185</v>
      </c>
      <c r="J359" s="5">
        <f>Raw_Data!J359</f>
        <v>4724.09</v>
      </c>
      <c r="K359" s="6">
        <f t="shared" si="35"/>
        <v>0.0418588742918282</v>
      </c>
      <c r="L359" s="5">
        <f t="shared" si="36"/>
        <v>1.85522313010685</v>
      </c>
      <c r="M359" s="5">
        <f t="shared" si="37"/>
        <v>47.8647567567568</v>
      </c>
      <c r="N359" s="7">
        <f t="shared" si="38"/>
        <v>0.53349527610452</v>
      </c>
      <c r="O359" s="5">
        <f t="shared" si="39"/>
        <v>-4130.89</v>
      </c>
      <c r="P359" s="8">
        <f t="shared" si="40"/>
        <v>-87.4430842765485</v>
      </c>
      <c r="Q359" s="3" t="str">
        <f t="shared" si="41"/>
        <v>2025-04</v>
      </c>
    </row>
    <row r="360" customHeight="1" spans="1:17">
      <c r="A360" s="3" t="str">
        <f>Raw_Data!A360</f>
        <v>C0059</v>
      </c>
      <c r="B360" s="4">
        <f>Raw_Data!B360</f>
        <v>45769</v>
      </c>
      <c r="C360" s="3" t="str">
        <f>Raw_Data!C360</f>
        <v>Instagram</v>
      </c>
      <c r="D360" s="3" t="str">
        <f>Raw_Data!D360</f>
        <v>North</v>
      </c>
      <c r="E360" s="5">
        <f>Raw_Data!E360</f>
        <v>7516.21</v>
      </c>
      <c r="F360" s="5">
        <f>Raw_Data!F360</f>
        <v>6406.14</v>
      </c>
      <c r="G360" s="3">
        <f>Raw_Data!G360</f>
        <v>146743</v>
      </c>
      <c r="H360" s="3">
        <f>Raw_Data!H360</f>
        <v>3193</v>
      </c>
      <c r="I360" s="3">
        <f>Raw_Data!I360</f>
        <v>385</v>
      </c>
      <c r="J360" s="5">
        <f>Raw_Data!J360</f>
        <v>15680.33</v>
      </c>
      <c r="K360" s="6">
        <f t="shared" si="35"/>
        <v>0.0217591299073891</v>
      </c>
      <c r="L360" s="5">
        <f t="shared" si="36"/>
        <v>2.00630754776073</v>
      </c>
      <c r="M360" s="5">
        <f t="shared" si="37"/>
        <v>16.6393246753247</v>
      </c>
      <c r="N360" s="7">
        <f t="shared" si="38"/>
        <v>2.4477032971493</v>
      </c>
      <c r="O360" s="5">
        <f t="shared" si="39"/>
        <v>9274.19</v>
      </c>
      <c r="P360" s="8">
        <f t="shared" si="40"/>
        <v>59.1453751292224</v>
      </c>
      <c r="Q360" s="3" t="str">
        <f t="shared" si="41"/>
        <v>2025-04</v>
      </c>
    </row>
    <row r="361" customHeight="1" spans="1:17">
      <c r="A361" s="3" t="str">
        <f>Raw_Data!A361</f>
        <v>C0313</v>
      </c>
      <c r="B361" s="4">
        <f>Raw_Data!B361</f>
        <v>45769</v>
      </c>
      <c r="C361" s="3" t="str">
        <f>Raw_Data!C361</f>
        <v>Twitter</v>
      </c>
      <c r="D361" s="3" t="str">
        <f>Raw_Data!D361</f>
        <v>North</v>
      </c>
      <c r="E361" s="5">
        <f>Raw_Data!E361</f>
        <v>3128.73</v>
      </c>
      <c r="F361" s="5">
        <f>Raw_Data!F361</f>
        <v>3361.16</v>
      </c>
      <c r="G361" s="3">
        <f>Raw_Data!G361</f>
        <v>158254</v>
      </c>
      <c r="H361" s="3">
        <f>Raw_Data!H361</f>
        <v>1254</v>
      </c>
      <c r="I361" s="3">
        <f>Raw_Data!I361</f>
        <v>110</v>
      </c>
      <c r="J361" s="5">
        <f>Raw_Data!J361</f>
        <v>2588.58</v>
      </c>
      <c r="K361" s="6">
        <f t="shared" si="35"/>
        <v>0.00792397032618449</v>
      </c>
      <c r="L361" s="5">
        <f t="shared" si="36"/>
        <v>2.68035087719298</v>
      </c>
      <c r="M361" s="5">
        <f t="shared" si="37"/>
        <v>30.556</v>
      </c>
      <c r="N361" s="7">
        <f t="shared" si="38"/>
        <v>0.770144830951219</v>
      </c>
      <c r="O361" s="5">
        <f t="shared" si="39"/>
        <v>-772.58</v>
      </c>
      <c r="P361" s="8">
        <f t="shared" si="40"/>
        <v>-29.8457069126703</v>
      </c>
      <c r="Q361" s="3" t="str">
        <f t="shared" si="41"/>
        <v>2025-04</v>
      </c>
    </row>
    <row r="362" customHeight="1" spans="1:17">
      <c r="A362" s="3" t="str">
        <f>Raw_Data!A362</f>
        <v>C0306</v>
      </c>
      <c r="B362" s="4">
        <f>Raw_Data!B362</f>
        <v>45769</v>
      </c>
      <c r="C362" s="3" t="str">
        <f>Raw_Data!C362</f>
        <v>LinkedIn</v>
      </c>
      <c r="D362" s="3" t="str">
        <f>Raw_Data!D362</f>
        <v>South</v>
      </c>
      <c r="E362" s="5">
        <f>Raw_Data!E362</f>
        <v>6052.89</v>
      </c>
      <c r="F362" s="5">
        <f>Raw_Data!F362</f>
        <v>5377.02</v>
      </c>
      <c r="G362" s="3">
        <f>Raw_Data!G362</f>
        <v>118229</v>
      </c>
      <c r="H362" s="3">
        <f>Raw_Data!H362</f>
        <v>1135</v>
      </c>
      <c r="I362" s="3">
        <f>Raw_Data!I362</f>
        <v>149</v>
      </c>
      <c r="J362" s="5">
        <f>Raw_Data!J362</f>
        <v>7219.59</v>
      </c>
      <c r="K362" s="6">
        <f t="shared" si="35"/>
        <v>0.00960001353305872</v>
      </c>
      <c r="L362" s="5">
        <f t="shared" si="36"/>
        <v>4.73746255506608</v>
      </c>
      <c r="M362" s="5">
        <f t="shared" si="37"/>
        <v>36.0873825503356</v>
      </c>
      <c r="N362" s="7">
        <f t="shared" si="38"/>
        <v>1.34267493890668</v>
      </c>
      <c r="O362" s="5">
        <f t="shared" si="39"/>
        <v>1842.57</v>
      </c>
      <c r="P362" s="8">
        <f t="shared" si="40"/>
        <v>25.5218094102297</v>
      </c>
      <c r="Q362" s="3" t="str">
        <f t="shared" si="41"/>
        <v>2025-04</v>
      </c>
    </row>
    <row r="363" customHeight="1" spans="1:17">
      <c r="A363" s="3" t="str">
        <f>Raw_Data!A363</f>
        <v>C0245</v>
      </c>
      <c r="B363" s="4">
        <f>Raw_Data!B363</f>
        <v>45769</v>
      </c>
      <c r="C363" s="3" t="str">
        <f>Raw_Data!C363</f>
        <v>Google Ads</v>
      </c>
      <c r="D363" s="3" t="str">
        <f>Raw_Data!D363</f>
        <v>North</v>
      </c>
      <c r="E363" s="5">
        <f>Raw_Data!E363</f>
        <v>7656.38</v>
      </c>
      <c r="F363" s="5">
        <f>Raw_Data!F363</f>
        <v>7326.54</v>
      </c>
      <c r="G363" s="3">
        <f>Raw_Data!G363</f>
        <v>65231</v>
      </c>
      <c r="H363" s="3">
        <f>Raw_Data!H363</f>
        <v>2231</v>
      </c>
      <c r="I363" s="3">
        <f>Raw_Data!I363</f>
        <v>352</v>
      </c>
      <c r="J363" s="5">
        <f>Raw_Data!J363</f>
        <v>10829.25</v>
      </c>
      <c r="K363" s="6">
        <f t="shared" si="35"/>
        <v>0.0342015299474176</v>
      </c>
      <c r="L363" s="5">
        <f t="shared" si="36"/>
        <v>3.28397131331242</v>
      </c>
      <c r="M363" s="5">
        <f t="shared" si="37"/>
        <v>20.8140340909091</v>
      </c>
      <c r="N363" s="7">
        <f t="shared" si="38"/>
        <v>1.47808515342849</v>
      </c>
      <c r="O363" s="5">
        <f t="shared" si="39"/>
        <v>3502.71</v>
      </c>
      <c r="P363" s="8">
        <f t="shared" si="40"/>
        <v>32.3448992312487</v>
      </c>
      <c r="Q363" s="3" t="str">
        <f t="shared" si="41"/>
        <v>2025-04</v>
      </c>
    </row>
    <row r="364" customHeight="1" spans="1:17">
      <c r="A364" s="3" t="str">
        <f>Raw_Data!A364</f>
        <v>C0258</v>
      </c>
      <c r="B364" s="4">
        <f>Raw_Data!B364</f>
        <v>45769</v>
      </c>
      <c r="C364" s="3" t="str">
        <f>Raw_Data!C364</f>
        <v>Twitter</v>
      </c>
      <c r="D364" s="3" t="str">
        <f>Raw_Data!D364</f>
        <v>North</v>
      </c>
      <c r="E364" s="5">
        <f>Raw_Data!E364</f>
        <v>8925.17</v>
      </c>
      <c r="F364" s="5">
        <f>Raw_Data!F364</f>
        <v>7481.49</v>
      </c>
      <c r="G364" s="3">
        <f>Raw_Data!G364</f>
        <v>121420</v>
      </c>
      <c r="H364" s="3">
        <f>Raw_Data!H364</f>
        <v>2619</v>
      </c>
      <c r="I364" s="3">
        <f>Raw_Data!I364</f>
        <v>104</v>
      </c>
      <c r="J364" s="5">
        <f>Raw_Data!J364</f>
        <v>3319.54</v>
      </c>
      <c r="K364" s="6">
        <f t="shared" si="35"/>
        <v>0.0215697578652611</v>
      </c>
      <c r="L364" s="5">
        <f t="shared" si="36"/>
        <v>2.85662084765178</v>
      </c>
      <c r="M364" s="5">
        <f t="shared" si="37"/>
        <v>71.9374038461538</v>
      </c>
      <c r="N364" s="7">
        <f t="shared" si="38"/>
        <v>0.443700385885699</v>
      </c>
      <c r="O364" s="5">
        <f t="shared" si="39"/>
        <v>-4161.95</v>
      </c>
      <c r="P364" s="8">
        <f t="shared" si="40"/>
        <v>-125.377311314218</v>
      </c>
      <c r="Q364" s="3" t="str">
        <f t="shared" si="41"/>
        <v>2025-04</v>
      </c>
    </row>
    <row r="365" customHeight="1" spans="1:17">
      <c r="A365" s="3" t="str">
        <f>Raw_Data!A365</f>
        <v>C0131</v>
      </c>
      <c r="B365" s="4">
        <f>Raw_Data!B365</f>
        <v>45770</v>
      </c>
      <c r="C365" s="3" t="str">
        <f>Raw_Data!C365</f>
        <v>Instagram</v>
      </c>
      <c r="D365" s="3" t="str">
        <f>Raw_Data!D365</f>
        <v>East</v>
      </c>
      <c r="E365" s="5">
        <f>Raw_Data!E365</f>
        <v>9933.54</v>
      </c>
      <c r="F365" s="5">
        <f>Raw_Data!F365</f>
        <v>9176.46</v>
      </c>
      <c r="G365" s="3">
        <f>Raw_Data!G365</f>
        <v>197123</v>
      </c>
      <c r="H365" s="3">
        <f>Raw_Data!H365</f>
        <v>3693</v>
      </c>
      <c r="I365" s="3">
        <f>Raw_Data!I365</f>
        <v>271</v>
      </c>
      <c r="J365" s="5">
        <f>Raw_Data!J365</f>
        <v>8444.51</v>
      </c>
      <c r="K365" s="6">
        <f t="shared" si="35"/>
        <v>0.0187344957209458</v>
      </c>
      <c r="L365" s="5">
        <f t="shared" si="36"/>
        <v>2.48482534524777</v>
      </c>
      <c r="M365" s="5">
        <f t="shared" si="37"/>
        <v>33.8614760147601</v>
      </c>
      <c r="N365" s="7">
        <f t="shared" si="38"/>
        <v>0.920236125913479</v>
      </c>
      <c r="O365" s="5">
        <f t="shared" si="39"/>
        <v>-731.949999999999</v>
      </c>
      <c r="P365" s="8">
        <f t="shared" si="40"/>
        <v>-8.66776165816606</v>
      </c>
      <c r="Q365" s="3" t="str">
        <f t="shared" si="41"/>
        <v>2025-04</v>
      </c>
    </row>
    <row r="366" customHeight="1" spans="1:17">
      <c r="A366" s="3" t="str">
        <f>Raw_Data!A366</f>
        <v>C0169</v>
      </c>
      <c r="B366" s="4">
        <f>Raw_Data!B366</f>
        <v>45770</v>
      </c>
      <c r="C366" s="3" t="str">
        <f>Raw_Data!C366</f>
        <v>Instagram</v>
      </c>
      <c r="D366" s="3" t="str">
        <f>Raw_Data!D366</f>
        <v>South</v>
      </c>
      <c r="E366" s="5">
        <f>Raw_Data!E366</f>
        <v>7793.12</v>
      </c>
      <c r="F366" s="5">
        <f>Raw_Data!F366</f>
        <v>6614.68</v>
      </c>
      <c r="G366" s="3">
        <f>Raw_Data!G366</f>
        <v>110033</v>
      </c>
      <c r="H366" s="3">
        <f>Raw_Data!H366</f>
        <v>3132</v>
      </c>
      <c r="I366" s="3">
        <f>Raw_Data!I366</f>
        <v>85</v>
      </c>
      <c r="J366" s="5">
        <f>Raw_Data!J366</f>
        <v>4022.86</v>
      </c>
      <c r="K366" s="6">
        <f t="shared" si="35"/>
        <v>0.0284641880163224</v>
      </c>
      <c r="L366" s="5">
        <f t="shared" si="36"/>
        <v>2.11196679438059</v>
      </c>
      <c r="M366" s="5">
        <f t="shared" si="37"/>
        <v>77.8197647058824</v>
      </c>
      <c r="N366" s="7">
        <f t="shared" si="38"/>
        <v>0.608171521524851</v>
      </c>
      <c r="O366" s="5">
        <f t="shared" si="39"/>
        <v>-2591.82</v>
      </c>
      <c r="P366" s="8">
        <f t="shared" si="40"/>
        <v>-64.4272979919759</v>
      </c>
      <c r="Q366" s="3" t="str">
        <f t="shared" si="41"/>
        <v>2025-04</v>
      </c>
    </row>
    <row r="367" customHeight="1" spans="1:17">
      <c r="A367" s="3" t="str">
        <f>Raw_Data!A367</f>
        <v>C0213</v>
      </c>
      <c r="B367" s="4">
        <f>Raw_Data!B367</f>
        <v>45770</v>
      </c>
      <c r="C367" s="3" t="str">
        <f>Raw_Data!C367</f>
        <v>Instagram</v>
      </c>
      <c r="D367" s="3" t="str">
        <f>Raw_Data!D367</f>
        <v>West</v>
      </c>
      <c r="E367" s="5">
        <f>Raw_Data!E367</f>
        <v>6728.32</v>
      </c>
      <c r="F367" s="5">
        <f>Raw_Data!F367</f>
        <v>5872.08</v>
      </c>
      <c r="G367" s="3">
        <f>Raw_Data!G367</f>
        <v>55825</v>
      </c>
      <c r="H367" s="3">
        <f>Raw_Data!H367</f>
        <v>2436</v>
      </c>
      <c r="I367" s="3">
        <f>Raw_Data!I367</f>
        <v>144</v>
      </c>
      <c r="J367" s="5">
        <f>Raw_Data!J367</f>
        <v>4043.13</v>
      </c>
      <c r="K367" s="6">
        <f t="shared" si="35"/>
        <v>0.0436363636363636</v>
      </c>
      <c r="L367" s="5">
        <f t="shared" si="36"/>
        <v>2.41054187192118</v>
      </c>
      <c r="M367" s="5">
        <f t="shared" si="37"/>
        <v>40.7783333333333</v>
      </c>
      <c r="N367" s="7">
        <f t="shared" si="38"/>
        <v>0.688534556749908</v>
      </c>
      <c r="O367" s="5">
        <f t="shared" si="39"/>
        <v>-1828.95</v>
      </c>
      <c r="P367" s="8">
        <f t="shared" si="40"/>
        <v>-45.2359929064858</v>
      </c>
      <c r="Q367" s="3" t="str">
        <f t="shared" si="41"/>
        <v>2025-04</v>
      </c>
    </row>
    <row r="368" customHeight="1" spans="1:17">
      <c r="A368" s="3" t="str">
        <f>Raw_Data!A368</f>
        <v>C0401</v>
      </c>
      <c r="B368" s="4">
        <f>Raw_Data!B368</f>
        <v>45771</v>
      </c>
      <c r="C368" s="3" t="str">
        <f>Raw_Data!C368</f>
        <v>LinkedIn</v>
      </c>
      <c r="D368" s="3" t="str">
        <f>Raw_Data!D368</f>
        <v>South</v>
      </c>
      <c r="E368" s="5">
        <f>Raw_Data!E368</f>
        <v>8307.84</v>
      </c>
      <c r="F368" s="5">
        <f>Raw_Data!F368</f>
        <v>6707.55</v>
      </c>
      <c r="G368" s="3">
        <f>Raw_Data!G368</f>
        <v>128069</v>
      </c>
      <c r="H368" s="3">
        <f>Raw_Data!H368</f>
        <v>2283</v>
      </c>
      <c r="I368" s="3">
        <f>Raw_Data!I368</f>
        <v>270</v>
      </c>
      <c r="J368" s="5">
        <f>Raw_Data!J368</f>
        <v>5579.2</v>
      </c>
      <c r="K368" s="6">
        <f t="shared" si="35"/>
        <v>0.0178263279950652</v>
      </c>
      <c r="L368" s="5">
        <f t="shared" si="36"/>
        <v>2.9380420499343</v>
      </c>
      <c r="M368" s="5">
        <f t="shared" si="37"/>
        <v>24.8427777777778</v>
      </c>
      <c r="N368" s="7">
        <f t="shared" si="38"/>
        <v>0.831779114579839</v>
      </c>
      <c r="O368" s="5">
        <f t="shared" si="39"/>
        <v>-1128.35</v>
      </c>
      <c r="P368" s="8">
        <f t="shared" si="40"/>
        <v>-20.2242256954402</v>
      </c>
      <c r="Q368" s="3" t="str">
        <f t="shared" si="41"/>
        <v>2025-04</v>
      </c>
    </row>
    <row r="369" customHeight="1" spans="1:17">
      <c r="A369" s="3" t="str">
        <f>Raw_Data!A369</f>
        <v>C0500</v>
      </c>
      <c r="B369" s="4">
        <f>Raw_Data!B369</f>
        <v>45771</v>
      </c>
      <c r="C369" s="3" t="str">
        <f>Raw_Data!C369</f>
        <v>LinkedIn</v>
      </c>
      <c r="D369" s="3" t="str">
        <f>Raw_Data!D369</f>
        <v>East</v>
      </c>
      <c r="E369" s="5">
        <f>Raw_Data!E369</f>
        <v>6244.46</v>
      </c>
      <c r="F369" s="5">
        <f>Raw_Data!F369</f>
        <v>5707.04</v>
      </c>
      <c r="G369" s="3">
        <f>Raw_Data!G369</f>
        <v>140338</v>
      </c>
      <c r="H369" s="3">
        <f>Raw_Data!H369</f>
        <v>5296</v>
      </c>
      <c r="I369" s="3">
        <f>Raw_Data!I369</f>
        <v>294</v>
      </c>
      <c r="J369" s="5">
        <f>Raw_Data!J369</f>
        <v>13494.6</v>
      </c>
      <c r="K369" s="6">
        <f t="shared" si="35"/>
        <v>0.0377374624121763</v>
      </c>
      <c r="L369" s="5">
        <f t="shared" si="36"/>
        <v>1.07761329305136</v>
      </c>
      <c r="M369" s="5">
        <f t="shared" si="37"/>
        <v>19.4117006802721</v>
      </c>
      <c r="N369" s="7">
        <f t="shared" si="38"/>
        <v>2.36455325352547</v>
      </c>
      <c r="O369" s="5">
        <f t="shared" si="39"/>
        <v>7787.56</v>
      </c>
      <c r="P369" s="8">
        <f t="shared" si="40"/>
        <v>57.7087131148756</v>
      </c>
      <c r="Q369" s="3" t="str">
        <f t="shared" si="41"/>
        <v>2025-04</v>
      </c>
    </row>
    <row r="370" customHeight="1" spans="1:17">
      <c r="A370" s="3" t="str">
        <f>Raw_Data!A370</f>
        <v>C0234</v>
      </c>
      <c r="B370" s="4">
        <f>Raw_Data!B370</f>
        <v>45771</v>
      </c>
      <c r="C370" s="3" t="str">
        <f>Raw_Data!C370</f>
        <v>Google Ads</v>
      </c>
      <c r="D370" s="3" t="str">
        <f>Raw_Data!D370</f>
        <v>West</v>
      </c>
      <c r="E370" s="5">
        <f>Raw_Data!E370</f>
        <v>6367.98</v>
      </c>
      <c r="F370" s="5">
        <f>Raw_Data!F370</f>
        <v>6111.84</v>
      </c>
      <c r="G370" s="3">
        <f>Raw_Data!G370</f>
        <v>61124</v>
      </c>
      <c r="H370" s="3">
        <f>Raw_Data!H370</f>
        <v>2912</v>
      </c>
      <c r="I370" s="3">
        <f>Raw_Data!I370</f>
        <v>312</v>
      </c>
      <c r="J370" s="5">
        <f>Raw_Data!J370</f>
        <v>6725.07</v>
      </c>
      <c r="K370" s="6">
        <f t="shared" si="35"/>
        <v>0.0476408612001832</v>
      </c>
      <c r="L370" s="5">
        <f t="shared" si="36"/>
        <v>2.09884615384615</v>
      </c>
      <c r="M370" s="5">
        <f t="shared" si="37"/>
        <v>19.5892307692308</v>
      </c>
      <c r="N370" s="7">
        <f t="shared" si="38"/>
        <v>1.10033476007225</v>
      </c>
      <c r="O370" s="5">
        <f t="shared" si="39"/>
        <v>613.23</v>
      </c>
      <c r="P370" s="8">
        <f t="shared" si="40"/>
        <v>9.11856679558725</v>
      </c>
      <c r="Q370" s="3" t="str">
        <f t="shared" si="41"/>
        <v>2025-04</v>
      </c>
    </row>
    <row r="371" customHeight="1" spans="1:17">
      <c r="A371" s="3" t="str">
        <f>Raw_Data!A371</f>
        <v>C0147</v>
      </c>
      <c r="B371" s="4">
        <f>Raw_Data!B371</f>
        <v>45771</v>
      </c>
      <c r="C371" s="3" t="str">
        <f>Raw_Data!C371</f>
        <v>Twitter</v>
      </c>
      <c r="D371" s="3" t="str">
        <f>Raw_Data!D371</f>
        <v>East</v>
      </c>
      <c r="E371" s="5">
        <f>Raw_Data!E371</f>
        <v>7943.7</v>
      </c>
      <c r="F371" s="5">
        <f>Raw_Data!F371</f>
        <v>6548.82</v>
      </c>
      <c r="G371" s="3">
        <f>Raw_Data!G371</f>
        <v>127949</v>
      </c>
      <c r="H371" s="3">
        <f>Raw_Data!H371</f>
        <v>2073</v>
      </c>
      <c r="I371" s="3">
        <f>Raw_Data!I371</f>
        <v>179</v>
      </c>
      <c r="J371" s="5">
        <f>Raw_Data!J371</f>
        <v>4035.58</v>
      </c>
      <c r="K371" s="6">
        <f t="shared" si="35"/>
        <v>0.0162017678918944</v>
      </c>
      <c r="L371" s="5">
        <f t="shared" si="36"/>
        <v>3.1591027496382</v>
      </c>
      <c r="M371" s="5">
        <f t="shared" si="37"/>
        <v>36.5855865921788</v>
      </c>
      <c r="N371" s="7">
        <f t="shared" si="38"/>
        <v>0.616230099468301</v>
      </c>
      <c r="O371" s="5">
        <f t="shared" si="39"/>
        <v>-2513.24</v>
      </c>
      <c r="P371" s="8">
        <f t="shared" si="40"/>
        <v>-62.2770456786881</v>
      </c>
      <c r="Q371" s="3" t="str">
        <f t="shared" si="41"/>
        <v>2025-04</v>
      </c>
    </row>
    <row r="372" customHeight="1" spans="1:17">
      <c r="A372" s="3" t="str">
        <f>Raw_Data!A372</f>
        <v>C0216</v>
      </c>
      <c r="B372" s="4">
        <f>Raw_Data!B372</f>
        <v>45771</v>
      </c>
      <c r="C372" s="3" t="str">
        <f>Raw_Data!C372</f>
        <v>Google Ads</v>
      </c>
      <c r="D372" s="3" t="str">
        <f>Raw_Data!D372</f>
        <v>East</v>
      </c>
      <c r="E372" s="5">
        <f>Raw_Data!E372</f>
        <v>9233.69</v>
      </c>
      <c r="F372" s="5">
        <f>Raw_Data!F372</f>
        <v>9031.27</v>
      </c>
      <c r="G372" s="3">
        <f>Raw_Data!G372</f>
        <v>52910</v>
      </c>
      <c r="H372" s="3">
        <f>Raw_Data!H372</f>
        <v>1772</v>
      </c>
      <c r="I372" s="3">
        <f>Raw_Data!I372</f>
        <v>184</v>
      </c>
      <c r="J372" s="5">
        <f>Raw_Data!J372</f>
        <v>7428.64</v>
      </c>
      <c r="K372" s="6">
        <f t="shared" si="35"/>
        <v>0.0334908334908335</v>
      </c>
      <c r="L372" s="5">
        <f t="shared" si="36"/>
        <v>5.09665349887133</v>
      </c>
      <c r="M372" s="5">
        <f t="shared" si="37"/>
        <v>49.0829891304348</v>
      </c>
      <c r="N372" s="7">
        <f t="shared" si="38"/>
        <v>0.822546552146044</v>
      </c>
      <c r="O372" s="5">
        <f t="shared" si="39"/>
        <v>-1602.63</v>
      </c>
      <c r="P372" s="8">
        <f t="shared" si="40"/>
        <v>-21.5736662430808</v>
      </c>
      <c r="Q372" s="3" t="str">
        <f t="shared" si="41"/>
        <v>2025-04</v>
      </c>
    </row>
    <row r="373" customHeight="1" spans="1:17">
      <c r="A373" s="3" t="str">
        <f>Raw_Data!A373</f>
        <v>C0058</v>
      </c>
      <c r="B373" s="4">
        <f>Raw_Data!B373</f>
        <v>45772</v>
      </c>
      <c r="C373" s="3" t="str">
        <f>Raw_Data!C373</f>
        <v>LinkedIn</v>
      </c>
      <c r="D373" s="3" t="str">
        <f>Raw_Data!D373</f>
        <v>East</v>
      </c>
      <c r="E373" s="5">
        <f>Raw_Data!E373</f>
        <v>3116.11</v>
      </c>
      <c r="F373" s="5">
        <f>Raw_Data!F373</f>
        <v>2971.61</v>
      </c>
      <c r="G373" s="3">
        <f>Raw_Data!G373</f>
        <v>81389</v>
      </c>
      <c r="H373" s="3">
        <f>Raw_Data!H373</f>
        <v>3140</v>
      </c>
      <c r="I373" s="3">
        <f>Raw_Data!I373</f>
        <v>392</v>
      </c>
      <c r="J373" s="5">
        <f>Raw_Data!J373</f>
        <v>10503.59</v>
      </c>
      <c r="K373" s="6">
        <f t="shared" si="35"/>
        <v>0.0385801521090074</v>
      </c>
      <c r="L373" s="5">
        <f t="shared" si="36"/>
        <v>0.946372611464968</v>
      </c>
      <c r="M373" s="5">
        <f t="shared" si="37"/>
        <v>7.58063775510204</v>
      </c>
      <c r="N373" s="7">
        <f t="shared" si="38"/>
        <v>3.53464620189056</v>
      </c>
      <c r="O373" s="5">
        <f t="shared" si="39"/>
        <v>7531.98</v>
      </c>
      <c r="P373" s="8">
        <f t="shared" si="40"/>
        <v>71.7086253366706</v>
      </c>
      <c r="Q373" s="3" t="str">
        <f t="shared" si="41"/>
        <v>2025-04</v>
      </c>
    </row>
    <row r="374" customHeight="1" spans="1:17">
      <c r="A374" s="3" t="str">
        <f>Raw_Data!A374</f>
        <v>C0249</v>
      </c>
      <c r="B374" s="4">
        <f>Raw_Data!B374</f>
        <v>45773</v>
      </c>
      <c r="C374" s="3" t="str">
        <f>Raw_Data!C374</f>
        <v>Facebook</v>
      </c>
      <c r="D374" s="3" t="str">
        <f>Raw_Data!D374</f>
        <v>West</v>
      </c>
      <c r="E374" s="5">
        <f>Raw_Data!E374</f>
        <v>4625.49</v>
      </c>
      <c r="F374" s="5">
        <f>Raw_Data!F374</f>
        <v>4948.68</v>
      </c>
      <c r="G374" s="3">
        <f>Raw_Data!G374</f>
        <v>87263</v>
      </c>
      <c r="H374" s="3">
        <f>Raw_Data!H374</f>
        <v>3752</v>
      </c>
      <c r="I374" s="3">
        <f>Raw_Data!I374</f>
        <v>526</v>
      </c>
      <c r="J374" s="5">
        <f>Raw_Data!J374</f>
        <v>16577.8</v>
      </c>
      <c r="K374" s="6">
        <f t="shared" si="35"/>
        <v>0.0429964589803239</v>
      </c>
      <c r="L374" s="5">
        <f t="shared" si="36"/>
        <v>1.31894456289979</v>
      </c>
      <c r="M374" s="5">
        <f t="shared" si="37"/>
        <v>9.40813688212928</v>
      </c>
      <c r="N374" s="7">
        <f t="shared" si="38"/>
        <v>3.34994382340341</v>
      </c>
      <c r="O374" s="5">
        <f t="shared" si="39"/>
        <v>11629.12</v>
      </c>
      <c r="P374" s="8">
        <f t="shared" si="40"/>
        <v>70.1487531518054</v>
      </c>
      <c r="Q374" s="3" t="str">
        <f t="shared" si="41"/>
        <v>2025-04</v>
      </c>
    </row>
    <row r="375" customHeight="1" spans="1:17">
      <c r="A375" s="3" t="str">
        <f>Raw_Data!A375</f>
        <v>C0480</v>
      </c>
      <c r="B375" s="4">
        <f>Raw_Data!B375</f>
        <v>45773</v>
      </c>
      <c r="C375" s="3" t="str">
        <f>Raw_Data!C375</f>
        <v>Google Ads</v>
      </c>
      <c r="D375" s="3" t="str">
        <f>Raw_Data!D375</f>
        <v>West</v>
      </c>
      <c r="E375" s="5">
        <f>Raw_Data!E375</f>
        <v>7932.77</v>
      </c>
      <c r="F375" s="5">
        <f>Raw_Data!F375</f>
        <v>6826.59</v>
      </c>
      <c r="G375" s="3">
        <f>Raw_Data!G375</f>
        <v>170452</v>
      </c>
      <c r="H375" s="3">
        <f>Raw_Data!H375</f>
        <v>8283</v>
      </c>
      <c r="I375" s="3">
        <f>Raw_Data!I375</f>
        <v>370</v>
      </c>
      <c r="J375" s="5">
        <f>Raw_Data!J375</f>
        <v>14875.1</v>
      </c>
      <c r="K375" s="6">
        <f t="shared" si="35"/>
        <v>0.0485943256752634</v>
      </c>
      <c r="L375" s="5">
        <f t="shared" si="36"/>
        <v>0.824168779427744</v>
      </c>
      <c r="M375" s="5">
        <f t="shared" si="37"/>
        <v>18.4502432432432</v>
      </c>
      <c r="N375" s="7">
        <f t="shared" si="38"/>
        <v>2.17899419768874</v>
      </c>
      <c r="O375" s="5">
        <f t="shared" si="39"/>
        <v>8048.51</v>
      </c>
      <c r="P375" s="8">
        <f t="shared" si="40"/>
        <v>54.1072665057714</v>
      </c>
      <c r="Q375" s="3" t="str">
        <f t="shared" si="41"/>
        <v>2025-04</v>
      </c>
    </row>
    <row r="376" customHeight="1" spans="1:17">
      <c r="A376" s="3" t="str">
        <f>Raw_Data!A376</f>
        <v>C0107</v>
      </c>
      <c r="B376" s="4">
        <f>Raw_Data!B376</f>
        <v>45774</v>
      </c>
      <c r="C376" s="3" t="str">
        <f>Raw_Data!C376</f>
        <v>Instagram</v>
      </c>
      <c r="D376" s="3" t="str">
        <f>Raw_Data!D376</f>
        <v>South</v>
      </c>
      <c r="E376" s="5">
        <f>Raw_Data!E376</f>
        <v>4095.06</v>
      </c>
      <c r="F376" s="5">
        <f>Raw_Data!F376</f>
        <v>3583.48</v>
      </c>
      <c r="G376" s="3">
        <f>Raw_Data!G376</f>
        <v>134667</v>
      </c>
      <c r="H376" s="3">
        <f>Raw_Data!H376</f>
        <v>4062</v>
      </c>
      <c r="I376" s="3">
        <f>Raw_Data!I376</f>
        <v>556</v>
      </c>
      <c r="J376" s="5">
        <f>Raw_Data!J376</f>
        <v>20281.1</v>
      </c>
      <c r="K376" s="6">
        <f t="shared" si="35"/>
        <v>0.0301632916750206</v>
      </c>
      <c r="L376" s="5">
        <f t="shared" si="36"/>
        <v>0.88219596258001</v>
      </c>
      <c r="M376" s="5">
        <f t="shared" si="37"/>
        <v>6.44510791366906</v>
      </c>
      <c r="N376" s="7">
        <f t="shared" si="38"/>
        <v>5.65961021130298</v>
      </c>
      <c r="O376" s="5">
        <f t="shared" si="39"/>
        <v>16697.62</v>
      </c>
      <c r="P376" s="8">
        <f t="shared" si="40"/>
        <v>82.3309386571734</v>
      </c>
      <c r="Q376" s="3" t="str">
        <f t="shared" si="41"/>
        <v>2025-04</v>
      </c>
    </row>
    <row r="377" customHeight="1" spans="1:17">
      <c r="A377" s="3" t="str">
        <f>Raw_Data!A377</f>
        <v>C0259</v>
      </c>
      <c r="B377" s="4">
        <f>Raw_Data!B377</f>
        <v>45774</v>
      </c>
      <c r="C377" s="3" t="str">
        <f>Raw_Data!C377</f>
        <v>Twitter</v>
      </c>
      <c r="D377" s="3" t="str">
        <f>Raw_Data!D377</f>
        <v>North</v>
      </c>
      <c r="E377" s="5">
        <f>Raw_Data!E377</f>
        <v>8581.07</v>
      </c>
      <c r="F377" s="5">
        <f>Raw_Data!F377</f>
        <v>7250.79</v>
      </c>
      <c r="G377" s="3">
        <f>Raw_Data!G377</f>
        <v>157129</v>
      </c>
      <c r="H377" s="3">
        <f>Raw_Data!H377</f>
        <v>6144</v>
      </c>
      <c r="I377" s="3">
        <f>Raw_Data!I377</f>
        <v>426</v>
      </c>
      <c r="J377" s="5">
        <f>Raw_Data!J377</f>
        <v>11449.83</v>
      </c>
      <c r="K377" s="6">
        <f t="shared" si="35"/>
        <v>0.0391016298709977</v>
      </c>
      <c r="L377" s="5">
        <f t="shared" si="36"/>
        <v>1.1801416015625</v>
      </c>
      <c r="M377" s="5">
        <f t="shared" si="37"/>
        <v>17.0206338028169</v>
      </c>
      <c r="N377" s="7">
        <f t="shared" si="38"/>
        <v>1.57911482748776</v>
      </c>
      <c r="O377" s="5">
        <f t="shared" si="39"/>
        <v>4199.04</v>
      </c>
      <c r="P377" s="8">
        <f t="shared" si="40"/>
        <v>36.6733829235893</v>
      </c>
      <c r="Q377" s="3" t="str">
        <f t="shared" si="41"/>
        <v>2025-04</v>
      </c>
    </row>
    <row r="378" customHeight="1" spans="1:17">
      <c r="A378" s="3" t="str">
        <f>Raw_Data!A378</f>
        <v>C0435</v>
      </c>
      <c r="B378" s="4">
        <f>Raw_Data!B378</f>
        <v>45774</v>
      </c>
      <c r="C378" s="3" t="str">
        <f>Raw_Data!C378</f>
        <v>LinkedIn</v>
      </c>
      <c r="D378" s="3" t="str">
        <f>Raw_Data!D378</f>
        <v>West</v>
      </c>
      <c r="E378" s="5">
        <f>Raw_Data!E378</f>
        <v>3363.8</v>
      </c>
      <c r="F378" s="5">
        <f>Raw_Data!F378</f>
        <v>3237.28</v>
      </c>
      <c r="G378" s="3">
        <f>Raw_Data!G378</f>
        <v>179667</v>
      </c>
      <c r="H378" s="3">
        <f>Raw_Data!H378</f>
        <v>3625</v>
      </c>
      <c r="I378" s="3">
        <f>Raw_Data!I378</f>
        <v>357</v>
      </c>
      <c r="J378" s="5">
        <f>Raw_Data!J378</f>
        <v>14734.04</v>
      </c>
      <c r="K378" s="6">
        <f t="shared" si="35"/>
        <v>0.0201762148864288</v>
      </c>
      <c r="L378" s="5">
        <f t="shared" si="36"/>
        <v>0.89304275862069</v>
      </c>
      <c r="M378" s="5">
        <f t="shared" si="37"/>
        <v>9.06801120448179</v>
      </c>
      <c r="N378" s="7">
        <f t="shared" si="38"/>
        <v>4.55136410814017</v>
      </c>
      <c r="O378" s="5">
        <f t="shared" si="39"/>
        <v>11496.76</v>
      </c>
      <c r="P378" s="8">
        <f t="shared" si="40"/>
        <v>78.0285651457441</v>
      </c>
      <c r="Q378" s="3" t="str">
        <f t="shared" si="41"/>
        <v>2025-04</v>
      </c>
    </row>
    <row r="379" customHeight="1" spans="1:17">
      <c r="A379" s="3" t="str">
        <f>Raw_Data!A379</f>
        <v>C0231</v>
      </c>
      <c r="B379" s="4">
        <f>Raw_Data!B379</f>
        <v>45774</v>
      </c>
      <c r="C379" s="3" t="str">
        <f>Raw_Data!C379</f>
        <v>Twitter</v>
      </c>
      <c r="D379" s="3" t="str">
        <f>Raw_Data!D379</f>
        <v>North</v>
      </c>
      <c r="E379" s="5">
        <f>Raw_Data!E379</f>
        <v>5265.75</v>
      </c>
      <c r="F379" s="5">
        <f>Raw_Data!F379</f>
        <v>4884.67</v>
      </c>
      <c r="G379" s="3">
        <f>Raw_Data!G379</f>
        <v>134522</v>
      </c>
      <c r="H379" s="3">
        <f>Raw_Data!H379</f>
        <v>2228</v>
      </c>
      <c r="I379" s="3">
        <f>Raw_Data!I379</f>
        <v>403</v>
      </c>
      <c r="J379" s="5">
        <f>Raw_Data!J379</f>
        <v>14197.01</v>
      </c>
      <c r="K379" s="6">
        <f t="shared" si="35"/>
        <v>0.0165623466793536</v>
      </c>
      <c r="L379" s="5">
        <f t="shared" si="36"/>
        <v>2.1924012567325</v>
      </c>
      <c r="M379" s="5">
        <f t="shared" si="37"/>
        <v>12.1207692307692</v>
      </c>
      <c r="N379" s="7">
        <f t="shared" si="38"/>
        <v>2.90644199096357</v>
      </c>
      <c r="O379" s="5">
        <f t="shared" si="39"/>
        <v>9312.34</v>
      </c>
      <c r="P379" s="8">
        <f t="shared" si="40"/>
        <v>65.5936707799741</v>
      </c>
      <c r="Q379" s="3" t="str">
        <f t="shared" si="41"/>
        <v>2025-04</v>
      </c>
    </row>
    <row r="380" customHeight="1" spans="1:17">
      <c r="A380" s="3" t="str">
        <f>Raw_Data!A380</f>
        <v>C0484</v>
      </c>
      <c r="B380" s="4">
        <f>Raw_Data!B380</f>
        <v>45775</v>
      </c>
      <c r="C380" s="3" t="str">
        <f>Raw_Data!C380</f>
        <v>Facebook</v>
      </c>
      <c r="D380" s="3" t="str">
        <f>Raw_Data!D380</f>
        <v>South</v>
      </c>
      <c r="E380" s="5">
        <f>Raw_Data!E380</f>
        <v>7782.74</v>
      </c>
      <c r="F380" s="5">
        <f>Raw_Data!F380</f>
        <v>7387.01</v>
      </c>
      <c r="G380" s="3">
        <f>Raw_Data!G380</f>
        <v>150531</v>
      </c>
      <c r="H380" s="3">
        <f>Raw_Data!H380</f>
        <v>3586</v>
      </c>
      <c r="I380" s="3">
        <f>Raw_Data!I380</f>
        <v>622</v>
      </c>
      <c r="J380" s="5">
        <f>Raw_Data!J380</f>
        <v>23969.03</v>
      </c>
      <c r="K380" s="6">
        <f t="shared" si="35"/>
        <v>0.0238223355986475</v>
      </c>
      <c r="L380" s="5">
        <f t="shared" si="36"/>
        <v>2.05995817066369</v>
      </c>
      <c r="M380" s="5">
        <f t="shared" si="37"/>
        <v>11.8762218649518</v>
      </c>
      <c r="N380" s="7">
        <f t="shared" si="38"/>
        <v>3.24475396676057</v>
      </c>
      <c r="O380" s="5">
        <f t="shared" si="39"/>
        <v>16582.02</v>
      </c>
      <c r="P380" s="8">
        <f t="shared" si="40"/>
        <v>69.1810223442501</v>
      </c>
      <c r="Q380" s="3" t="str">
        <f t="shared" si="41"/>
        <v>2025-04</v>
      </c>
    </row>
    <row r="381" customHeight="1" spans="1:17">
      <c r="A381" s="3" t="str">
        <f>Raw_Data!A381</f>
        <v>C0109</v>
      </c>
      <c r="B381" s="4">
        <f>Raw_Data!B381</f>
        <v>45775</v>
      </c>
      <c r="C381" s="3" t="str">
        <f>Raw_Data!C381</f>
        <v>Twitter</v>
      </c>
      <c r="D381" s="3" t="str">
        <f>Raw_Data!D381</f>
        <v>North</v>
      </c>
      <c r="E381" s="5">
        <f>Raw_Data!E381</f>
        <v>9684.06</v>
      </c>
      <c r="F381" s="5">
        <f>Raw_Data!F381</f>
        <v>9891</v>
      </c>
      <c r="G381" s="3">
        <f>Raw_Data!G381</f>
        <v>145812</v>
      </c>
      <c r="H381" s="3">
        <f>Raw_Data!H381</f>
        <v>2588</v>
      </c>
      <c r="I381" s="3">
        <f>Raw_Data!I381</f>
        <v>340</v>
      </c>
      <c r="J381" s="5">
        <f>Raw_Data!J381</f>
        <v>12454.41</v>
      </c>
      <c r="K381" s="6">
        <f t="shared" si="35"/>
        <v>0.0177488821221847</v>
      </c>
      <c r="L381" s="5">
        <f t="shared" si="36"/>
        <v>3.82187017001546</v>
      </c>
      <c r="M381" s="5">
        <f t="shared" si="37"/>
        <v>29.0911764705882</v>
      </c>
      <c r="N381" s="7">
        <f t="shared" si="38"/>
        <v>1.25916590840158</v>
      </c>
      <c r="O381" s="5">
        <f t="shared" si="39"/>
        <v>2563.41</v>
      </c>
      <c r="P381" s="8">
        <f t="shared" si="40"/>
        <v>20.5823479394046</v>
      </c>
      <c r="Q381" s="3" t="str">
        <f t="shared" si="41"/>
        <v>2025-04</v>
      </c>
    </row>
    <row r="382" customHeight="1" spans="1:17">
      <c r="A382" s="3" t="str">
        <f>Raw_Data!A382</f>
        <v>C0493</v>
      </c>
      <c r="B382" s="4">
        <f>Raw_Data!B382</f>
        <v>45776</v>
      </c>
      <c r="C382" s="3" t="str">
        <f>Raw_Data!C382</f>
        <v>Twitter</v>
      </c>
      <c r="D382" s="3" t="str">
        <f>Raw_Data!D382</f>
        <v>East</v>
      </c>
      <c r="E382" s="5">
        <f>Raw_Data!E382</f>
        <v>8654.92</v>
      </c>
      <c r="F382" s="5">
        <f>Raw_Data!F382</f>
        <v>8903.19</v>
      </c>
      <c r="G382" s="3">
        <f>Raw_Data!G382</f>
        <v>52359</v>
      </c>
      <c r="H382" s="3">
        <f>Raw_Data!H382</f>
        <v>1523</v>
      </c>
      <c r="I382" s="3">
        <f>Raw_Data!I382</f>
        <v>135</v>
      </c>
      <c r="J382" s="5">
        <f>Raw_Data!J382</f>
        <v>5931.15</v>
      </c>
      <c r="K382" s="6">
        <f t="shared" si="35"/>
        <v>0.0290876449130044</v>
      </c>
      <c r="L382" s="5">
        <f t="shared" si="36"/>
        <v>5.84582403151674</v>
      </c>
      <c r="M382" s="5">
        <f t="shared" si="37"/>
        <v>65.9495555555556</v>
      </c>
      <c r="N382" s="7">
        <f t="shared" si="38"/>
        <v>0.66618257051686</v>
      </c>
      <c r="O382" s="5">
        <f t="shared" si="39"/>
        <v>-2972.04</v>
      </c>
      <c r="P382" s="8">
        <f t="shared" si="40"/>
        <v>-50.1090007839964</v>
      </c>
      <c r="Q382" s="3" t="str">
        <f t="shared" si="41"/>
        <v>2025-04</v>
      </c>
    </row>
    <row r="383" customHeight="1" spans="1:17">
      <c r="A383" s="3" t="str">
        <f>Raw_Data!A383</f>
        <v>C0196</v>
      </c>
      <c r="B383" s="4">
        <f>Raw_Data!B383</f>
        <v>45776</v>
      </c>
      <c r="C383" s="3" t="str">
        <f>Raw_Data!C383</f>
        <v>LinkedIn</v>
      </c>
      <c r="D383" s="3" t="str">
        <f>Raw_Data!D383</f>
        <v>West</v>
      </c>
      <c r="E383" s="5">
        <f>Raw_Data!E383</f>
        <v>4681.02</v>
      </c>
      <c r="F383" s="5">
        <f>Raw_Data!F383</f>
        <v>3851.35</v>
      </c>
      <c r="G383" s="3">
        <f>Raw_Data!G383</f>
        <v>122395</v>
      </c>
      <c r="H383" s="3">
        <f>Raw_Data!H383</f>
        <v>3701</v>
      </c>
      <c r="I383" s="3">
        <f>Raw_Data!I383</f>
        <v>421</v>
      </c>
      <c r="J383" s="5">
        <f>Raw_Data!J383</f>
        <v>10047.75</v>
      </c>
      <c r="K383" s="6">
        <f t="shared" si="35"/>
        <v>0.0302381633236652</v>
      </c>
      <c r="L383" s="5">
        <f t="shared" si="36"/>
        <v>1.04062415563361</v>
      </c>
      <c r="M383" s="5">
        <f t="shared" si="37"/>
        <v>9.14809976247031</v>
      </c>
      <c r="N383" s="7">
        <f t="shared" si="38"/>
        <v>2.60889038908435</v>
      </c>
      <c r="O383" s="5">
        <f t="shared" si="39"/>
        <v>6196.4</v>
      </c>
      <c r="P383" s="8">
        <f t="shared" si="40"/>
        <v>61.6695280037819</v>
      </c>
      <c r="Q383" s="3" t="str">
        <f t="shared" si="41"/>
        <v>2025-04</v>
      </c>
    </row>
    <row r="384" customHeight="1" spans="1:17">
      <c r="A384" s="3" t="str">
        <f>Raw_Data!A384</f>
        <v>C0462</v>
      </c>
      <c r="B384" s="4">
        <f>Raw_Data!B384</f>
        <v>45776</v>
      </c>
      <c r="C384" s="3" t="str">
        <f>Raw_Data!C384</f>
        <v>Instagram</v>
      </c>
      <c r="D384" s="3" t="str">
        <f>Raw_Data!D384</f>
        <v>South</v>
      </c>
      <c r="E384" s="5">
        <f>Raw_Data!E384</f>
        <v>4806.93</v>
      </c>
      <c r="F384" s="5">
        <f>Raw_Data!F384</f>
        <v>4792.61</v>
      </c>
      <c r="G384" s="3">
        <f>Raw_Data!G384</f>
        <v>127536</v>
      </c>
      <c r="H384" s="3">
        <f>Raw_Data!H384</f>
        <v>1590</v>
      </c>
      <c r="I384" s="3">
        <f>Raw_Data!I384</f>
        <v>273</v>
      </c>
      <c r="J384" s="5">
        <f>Raw_Data!J384</f>
        <v>8123.31</v>
      </c>
      <c r="K384" s="6">
        <f t="shared" si="35"/>
        <v>0.012467068121942</v>
      </c>
      <c r="L384" s="5">
        <f t="shared" si="36"/>
        <v>3.01422012578616</v>
      </c>
      <c r="M384" s="5">
        <f t="shared" si="37"/>
        <v>17.555347985348</v>
      </c>
      <c r="N384" s="7">
        <f t="shared" si="38"/>
        <v>1.69496579108252</v>
      </c>
      <c r="O384" s="5">
        <f t="shared" si="39"/>
        <v>3330.7</v>
      </c>
      <c r="P384" s="8">
        <f t="shared" si="40"/>
        <v>41.0017591351309</v>
      </c>
      <c r="Q384" s="3" t="str">
        <f t="shared" si="41"/>
        <v>2025-04</v>
      </c>
    </row>
    <row r="385" customHeight="1" spans="1:17">
      <c r="A385" s="3" t="str">
        <f>Raw_Data!A385</f>
        <v>C0352</v>
      </c>
      <c r="B385" s="4">
        <f>Raw_Data!B385</f>
        <v>45776</v>
      </c>
      <c r="C385" s="3" t="str">
        <f>Raw_Data!C385</f>
        <v>Google Ads</v>
      </c>
      <c r="D385" s="3" t="str">
        <f>Raw_Data!D385</f>
        <v>West</v>
      </c>
      <c r="E385" s="5">
        <f>Raw_Data!E385</f>
        <v>8591.48</v>
      </c>
      <c r="F385" s="5">
        <f>Raw_Data!F385</f>
        <v>9445.3</v>
      </c>
      <c r="G385" s="3">
        <f>Raw_Data!G385</f>
        <v>106946</v>
      </c>
      <c r="H385" s="3">
        <f>Raw_Data!H385</f>
        <v>4278</v>
      </c>
      <c r="I385" s="3">
        <f>Raw_Data!I385</f>
        <v>149</v>
      </c>
      <c r="J385" s="5">
        <f>Raw_Data!J385</f>
        <v>4547.68</v>
      </c>
      <c r="K385" s="6">
        <f t="shared" si="35"/>
        <v>0.0400014960821349</v>
      </c>
      <c r="L385" s="5">
        <f t="shared" si="36"/>
        <v>2.20787751285647</v>
      </c>
      <c r="M385" s="5">
        <f t="shared" si="37"/>
        <v>63.3912751677852</v>
      </c>
      <c r="N385" s="7">
        <f t="shared" si="38"/>
        <v>0.481475442812828</v>
      </c>
      <c r="O385" s="5">
        <f t="shared" si="39"/>
        <v>-4897.62</v>
      </c>
      <c r="P385" s="8">
        <f t="shared" si="40"/>
        <v>-107.694912570805</v>
      </c>
      <c r="Q385" s="3" t="str">
        <f t="shared" si="41"/>
        <v>2025-04</v>
      </c>
    </row>
    <row r="386" customHeight="1" spans="1:17">
      <c r="A386" s="3" t="str">
        <f>Raw_Data!A386</f>
        <v>C0269</v>
      </c>
      <c r="B386" s="4">
        <f>Raw_Data!B386</f>
        <v>45776</v>
      </c>
      <c r="C386" s="3" t="str">
        <f>Raw_Data!C386</f>
        <v>Instagram</v>
      </c>
      <c r="D386" s="3" t="str">
        <f>Raw_Data!D386</f>
        <v>East</v>
      </c>
      <c r="E386" s="5">
        <f>Raw_Data!E386</f>
        <v>5968.91</v>
      </c>
      <c r="F386" s="5">
        <f>Raw_Data!F386</f>
        <v>6093.86</v>
      </c>
      <c r="G386" s="3">
        <f>Raw_Data!G386</f>
        <v>196435</v>
      </c>
      <c r="H386" s="3">
        <f>Raw_Data!H386</f>
        <v>5991</v>
      </c>
      <c r="I386" s="3">
        <f>Raw_Data!I386</f>
        <v>805</v>
      </c>
      <c r="J386" s="5">
        <f>Raw_Data!J386</f>
        <v>38664.96</v>
      </c>
      <c r="K386" s="6">
        <f t="shared" ref="K386:K449" si="42">IFERROR(H386/G386,0)</f>
        <v>0.0304986382263853</v>
      </c>
      <c r="L386" s="5">
        <f t="shared" ref="L386:L449" si="43">IFERROR(F386/H386,0)</f>
        <v>1.01716908696378</v>
      </c>
      <c r="M386" s="5">
        <f t="shared" ref="M386:M449" si="44">IFERROR(F386/I386,0)</f>
        <v>7.57001242236025</v>
      </c>
      <c r="N386" s="7">
        <f t="shared" ref="N386:N449" si="45">IFERROR(J386/F386,0)</f>
        <v>6.34490454326158</v>
      </c>
      <c r="O386" s="5">
        <f t="shared" ref="O386:O449" si="46">J386-F386</f>
        <v>32571.1</v>
      </c>
      <c r="P386" s="8">
        <f t="shared" ref="P386:P449" si="47">IFERROR(O386/J386*100,0)</f>
        <v>84.2393215976429</v>
      </c>
      <c r="Q386" s="3" t="str">
        <f t="shared" ref="Q386:Q449" si="48">TEXT(B386,"YYYY-MM")</f>
        <v>2025-04</v>
      </c>
    </row>
    <row r="387" customHeight="1" spans="1:17">
      <c r="A387" s="3" t="str">
        <f>Raw_Data!A387</f>
        <v>C0334</v>
      </c>
      <c r="B387" s="4">
        <f>Raw_Data!B387</f>
        <v>45777</v>
      </c>
      <c r="C387" s="3" t="str">
        <f>Raw_Data!C387</f>
        <v>Facebook</v>
      </c>
      <c r="D387" s="3" t="str">
        <f>Raw_Data!D387</f>
        <v>North</v>
      </c>
      <c r="E387" s="5">
        <f>Raw_Data!E387</f>
        <v>6122.04</v>
      </c>
      <c r="F387" s="5">
        <f>Raw_Data!F387</f>
        <v>5237.65</v>
      </c>
      <c r="G387" s="3">
        <f>Raw_Data!G387</f>
        <v>115362</v>
      </c>
      <c r="H387" s="3">
        <f>Raw_Data!H387</f>
        <v>2448</v>
      </c>
      <c r="I387" s="3">
        <f>Raw_Data!I387</f>
        <v>149</v>
      </c>
      <c r="J387" s="5">
        <f>Raw_Data!J387</f>
        <v>5402.3</v>
      </c>
      <c r="K387" s="6">
        <f t="shared" si="42"/>
        <v>0.0212201591511936</v>
      </c>
      <c r="L387" s="5">
        <f t="shared" si="43"/>
        <v>2.13956290849673</v>
      </c>
      <c r="M387" s="5">
        <f t="shared" si="44"/>
        <v>35.1520134228188</v>
      </c>
      <c r="N387" s="7">
        <f t="shared" si="45"/>
        <v>1.03143585386576</v>
      </c>
      <c r="O387" s="5">
        <f t="shared" si="46"/>
        <v>164.650000000001</v>
      </c>
      <c r="P387" s="8">
        <f t="shared" si="47"/>
        <v>3.04777594728172</v>
      </c>
      <c r="Q387" s="3" t="str">
        <f t="shared" si="48"/>
        <v>2025-04</v>
      </c>
    </row>
    <row r="388" customHeight="1" spans="1:17">
      <c r="A388" s="3" t="str">
        <f>Raw_Data!A388</f>
        <v>C0127</v>
      </c>
      <c r="B388" s="4">
        <f>Raw_Data!B388</f>
        <v>45777</v>
      </c>
      <c r="C388" s="3" t="str">
        <f>Raw_Data!C388</f>
        <v>Google Ads</v>
      </c>
      <c r="D388" s="3" t="str">
        <f>Raw_Data!D388</f>
        <v>South</v>
      </c>
      <c r="E388" s="5">
        <f>Raw_Data!E388</f>
        <v>8701.28</v>
      </c>
      <c r="F388" s="5">
        <f>Raw_Data!F388</f>
        <v>7696.77</v>
      </c>
      <c r="G388" s="3">
        <f>Raw_Data!G388</f>
        <v>62770</v>
      </c>
      <c r="H388" s="3">
        <f>Raw_Data!H388</f>
        <v>1245</v>
      </c>
      <c r="I388" s="3">
        <f>Raw_Data!I388</f>
        <v>249</v>
      </c>
      <c r="J388" s="5">
        <f>Raw_Data!J388</f>
        <v>5862.69</v>
      </c>
      <c r="K388" s="6">
        <f t="shared" si="42"/>
        <v>0.0198343157559344</v>
      </c>
      <c r="L388" s="5">
        <f t="shared" si="43"/>
        <v>6.18214457831325</v>
      </c>
      <c r="M388" s="5">
        <f t="shared" si="44"/>
        <v>30.9107228915663</v>
      </c>
      <c r="N388" s="7">
        <f t="shared" si="45"/>
        <v>0.761707833285911</v>
      </c>
      <c r="O388" s="5">
        <f t="shared" si="46"/>
        <v>-1834.08</v>
      </c>
      <c r="P388" s="8">
        <f t="shared" si="47"/>
        <v>-31.2839328021779</v>
      </c>
      <c r="Q388" s="3" t="str">
        <f t="shared" si="48"/>
        <v>2025-04</v>
      </c>
    </row>
    <row r="389" customHeight="1" spans="1:17">
      <c r="A389" s="3" t="str">
        <f>Raw_Data!A389</f>
        <v>C0397</v>
      </c>
      <c r="B389" s="4">
        <f>Raw_Data!B389</f>
        <v>45777</v>
      </c>
      <c r="C389" s="3" t="str">
        <f>Raw_Data!C389</f>
        <v>LinkedIn</v>
      </c>
      <c r="D389" s="3" t="str">
        <f>Raw_Data!D389</f>
        <v>South</v>
      </c>
      <c r="E389" s="5">
        <f>Raw_Data!E389</f>
        <v>5106.74</v>
      </c>
      <c r="F389" s="5">
        <f>Raw_Data!F389</f>
        <v>5170.33</v>
      </c>
      <c r="G389" s="3">
        <f>Raw_Data!G389</f>
        <v>69967</v>
      </c>
      <c r="H389" s="3">
        <f>Raw_Data!H389</f>
        <v>1422</v>
      </c>
      <c r="I389" s="3">
        <f>Raw_Data!I389</f>
        <v>153</v>
      </c>
      <c r="J389" s="5">
        <f>Raw_Data!J389</f>
        <v>3369.14</v>
      </c>
      <c r="K389" s="6">
        <f t="shared" si="42"/>
        <v>0.0203238669658553</v>
      </c>
      <c r="L389" s="5">
        <f t="shared" si="43"/>
        <v>3.63595639943741</v>
      </c>
      <c r="M389" s="5">
        <f t="shared" si="44"/>
        <v>33.7930065359477</v>
      </c>
      <c r="N389" s="7">
        <f t="shared" si="45"/>
        <v>0.651629586506084</v>
      </c>
      <c r="O389" s="5">
        <f t="shared" si="46"/>
        <v>-1801.19</v>
      </c>
      <c r="P389" s="8">
        <f t="shared" si="47"/>
        <v>-53.4614174537122</v>
      </c>
      <c r="Q389" s="3" t="str">
        <f t="shared" si="48"/>
        <v>2025-04</v>
      </c>
    </row>
    <row r="390" customHeight="1" spans="1:17">
      <c r="A390" s="3" t="str">
        <f>Raw_Data!A390</f>
        <v>C0479</v>
      </c>
      <c r="B390" s="4">
        <f>Raw_Data!B390</f>
        <v>45778</v>
      </c>
      <c r="C390" s="3" t="str">
        <f>Raw_Data!C390</f>
        <v>Instagram</v>
      </c>
      <c r="D390" s="3" t="str">
        <f>Raw_Data!D390</f>
        <v>South</v>
      </c>
      <c r="E390" s="5">
        <f>Raw_Data!E390</f>
        <v>3977.56</v>
      </c>
      <c r="F390" s="5">
        <f>Raw_Data!F390</f>
        <v>3217.81</v>
      </c>
      <c r="G390" s="3">
        <f>Raw_Data!G390</f>
        <v>183098</v>
      </c>
      <c r="H390" s="3">
        <f>Raw_Data!H390</f>
        <v>3716</v>
      </c>
      <c r="I390" s="3">
        <f>Raw_Data!I390</f>
        <v>153</v>
      </c>
      <c r="J390" s="5">
        <f>Raw_Data!J390</f>
        <v>4473.4</v>
      </c>
      <c r="K390" s="6">
        <f t="shared" si="42"/>
        <v>0.0202951424919988</v>
      </c>
      <c r="L390" s="5">
        <f t="shared" si="43"/>
        <v>0.865933799784715</v>
      </c>
      <c r="M390" s="5">
        <f t="shared" si="44"/>
        <v>21.0314379084967</v>
      </c>
      <c r="N390" s="7">
        <f t="shared" si="45"/>
        <v>1.39020016719446</v>
      </c>
      <c r="O390" s="5">
        <f t="shared" si="46"/>
        <v>1255.59</v>
      </c>
      <c r="P390" s="8">
        <f t="shared" si="47"/>
        <v>28.0679125497384</v>
      </c>
      <c r="Q390" s="3" t="str">
        <f t="shared" si="48"/>
        <v>2025-05</v>
      </c>
    </row>
    <row r="391" customHeight="1" spans="1:17">
      <c r="A391" s="3" t="str">
        <f>Raw_Data!A391</f>
        <v>C0160</v>
      </c>
      <c r="B391" s="4">
        <f>Raw_Data!B391</f>
        <v>45778</v>
      </c>
      <c r="C391" s="3" t="str">
        <f>Raw_Data!C391</f>
        <v>Google Ads</v>
      </c>
      <c r="D391" s="3" t="str">
        <f>Raw_Data!D391</f>
        <v>North</v>
      </c>
      <c r="E391" s="5">
        <f>Raw_Data!E391</f>
        <v>6876.98</v>
      </c>
      <c r="F391" s="5">
        <f>Raw_Data!F391</f>
        <v>7501.35</v>
      </c>
      <c r="G391" s="3">
        <f>Raw_Data!G391</f>
        <v>126890</v>
      </c>
      <c r="H391" s="3">
        <f>Raw_Data!H391</f>
        <v>3074</v>
      </c>
      <c r="I391" s="3">
        <f>Raw_Data!I391</f>
        <v>614</v>
      </c>
      <c r="J391" s="5">
        <f>Raw_Data!J391</f>
        <v>21915.46</v>
      </c>
      <c r="K391" s="6">
        <f t="shared" si="42"/>
        <v>0.0242257073055402</v>
      </c>
      <c r="L391" s="5">
        <f t="shared" si="43"/>
        <v>2.44025699414444</v>
      </c>
      <c r="M391" s="5">
        <f t="shared" si="44"/>
        <v>12.2171824104235</v>
      </c>
      <c r="N391" s="7">
        <f t="shared" si="45"/>
        <v>2.92153545695108</v>
      </c>
      <c r="O391" s="5">
        <f t="shared" si="46"/>
        <v>14414.11</v>
      </c>
      <c r="P391" s="8">
        <f t="shared" si="47"/>
        <v>65.771423460881</v>
      </c>
      <c r="Q391" s="3" t="str">
        <f t="shared" si="48"/>
        <v>2025-05</v>
      </c>
    </row>
    <row r="392" customHeight="1" spans="1:17">
      <c r="A392" s="3" t="str">
        <f>Raw_Data!A392</f>
        <v>C0095</v>
      </c>
      <c r="B392" s="4">
        <f>Raw_Data!B392</f>
        <v>45779</v>
      </c>
      <c r="C392" s="3" t="str">
        <f>Raw_Data!C392</f>
        <v>LinkedIn</v>
      </c>
      <c r="D392" s="3" t="str">
        <f>Raw_Data!D392</f>
        <v>South</v>
      </c>
      <c r="E392" s="5">
        <f>Raw_Data!E392</f>
        <v>5629.08</v>
      </c>
      <c r="F392" s="5">
        <f>Raw_Data!F392</f>
        <v>4661.97</v>
      </c>
      <c r="G392" s="3">
        <f>Raw_Data!G392</f>
        <v>163071</v>
      </c>
      <c r="H392" s="3">
        <f>Raw_Data!H392</f>
        <v>2665</v>
      </c>
      <c r="I392" s="3">
        <f>Raw_Data!I392</f>
        <v>80</v>
      </c>
      <c r="J392" s="5">
        <f>Raw_Data!J392</f>
        <v>2987.87</v>
      </c>
      <c r="K392" s="6">
        <f t="shared" si="42"/>
        <v>0.0163425747067228</v>
      </c>
      <c r="L392" s="5">
        <f t="shared" si="43"/>
        <v>1.74933208255159</v>
      </c>
      <c r="M392" s="5">
        <f t="shared" si="44"/>
        <v>58.274625</v>
      </c>
      <c r="N392" s="7">
        <f t="shared" si="45"/>
        <v>0.640902880112914</v>
      </c>
      <c r="O392" s="5">
        <f t="shared" si="46"/>
        <v>-1674.1</v>
      </c>
      <c r="P392" s="8">
        <f t="shared" si="47"/>
        <v>-56.0298808181079</v>
      </c>
      <c r="Q392" s="3" t="str">
        <f t="shared" si="48"/>
        <v>2025-05</v>
      </c>
    </row>
    <row r="393" customHeight="1" spans="1:17">
      <c r="A393" s="3" t="str">
        <f>Raw_Data!A393</f>
        <v>C0499</v>
      </c>
      <c r="B393" s="4">
        <f>Raw_Data!B393</f>
        <v>45779</v>
      </c>
      <c r="C393" s="3" t="str">
        <f>Raw_Data!C393</f>
        <v>Twitter</v>
      </c>
      <c r="D393" s="3" t="str">
        <f>Raw_Data!D393</f>
        <v>South</v>
      </c>
      <c r="E393" s="5">
        <f>Raw_Data!E393</f>
        <v>7224.14</v>
      </c>
      <c r="F393" s="5">
        <f>Raw_Data!F393</f>
        <v>7227.49</v>
      </c>
      <c r="G393" s="3">
        <f>Raw_Data!G393</f>
        <v>68836</v>
      </c>
      <c r="H393" s="3">
        <f>Raw_Data!H393</f>
        <v>3169</v>
      </c>
      <c r="I393" s="3">
        <f>Raw_Data!I393</f>
        <v>620</v>
      </c>
      <c r="J393" s="5">
        <f>Raw_Data!J393</f>
        <v>23922.52</v>
      </c>
      <c r="K393" s="6">
        <f t="shared" si="42"/>
        <v>0.0460369574060085</v>
      </c>
      <c r="L393" s="5">
        <f t="shared" si="43"/>
        <v>2.28068475859893</v>
      </c>
      <c r="M393" s="5">
        <f t="shared" si="44"/>
        <v>11.6572419354839</v>
      </c>
      <c r="N393" s="7">
        <f t="shared" si="45"/>
        <v>3.30993470762326</v>
      </c>
      <c r="O393" s="5">
        <f t="shared" si="46"/>
        <v>16695.03</v>
      </c>
      <c r="P393" s="8">
        <f t="shared" si="47"/>
        <v>69.7879236802812</v>
      </c>
      <c r="Q393" s="3" t="str">
        <f t="shared" si="48"/>
        <v>2025-05</v>
      </c>
    </row>
    <row r="394" customHeight="1" spans="1:17">
      <c r="A394" s="3" t="str">
        <f>Raw_Data!A394</f>
        <v>C0204</v>
      </c>
      <c r="B394" s="4">
        <f>Raw_Data!B394</f>
        <v>45780</v>
      </c>
      <c r="C394" s="3" t="str">
        <f>Raw_Data!C394</f>
        <v>Twitter</v>
      </c>
      <c r="D394" s="3" t="str">
        <f>Raw_Data!D394</f>
        <v>West</v>
      </c>
      <c r="E394" s="5">
        <f>Raw_Data!E394</f>
        <v>7832.76</v>
      </c>
      <c r="F394" s="5">
        <f>Raw_Data!F394</f>
        <v>6358.58</v>
      </c>
      <c r="G394" s="3">
        <f>Raw_Data!G394</f>
        <v>100148</v>
      </c>
      <c r="H394" s="3">
        <f>Raw_Data!H394</f>
        <v>1610</v>
      </c>
      <c r="I394" s="3">
        <f>Raw_Data!I394</f>
        <v>112</v>
      </c>
      <c r="J394" s="5">
        <f>Raw_Data!J394</f>
        <v>4926.02</v>
      </c>
      <c r="K394" s="6">
        <f t="shared" si="42"/>
        <v>0.0160762072133243</v>
      </c>
      <c r="L394" s="5">
        <f t="shared" si="43"/>
        <v>3.94942857142857</v>
      </c>
      <c r="M394" s="5">
        <f t="shared" si="44"/>
        <v>56.7730357142857</v>
      </c>
      <c r="N394" s="7">
        <f t="shared" si="45"/>
        <v>0.774704415136713</v>
      </c>
      <c r="O394" s="5">
        <f t="shared" si="46"/>
        <v>-1432.56</v>
      </c>
      <c r="P394" s="8">
        <f t="shared" si="47"/>
        <v>-29.0814897219256</v>
      </c>
      <c r="Q394" s="3" t="str">
        <f t="shared" si="48"/>
        <v>2025-05</v>
      </c>
    </row>
    <row r="395" customHeight="1" spans="1:17">
      <c r="A395" s="3" t="str">
        <f>Raw_Data!A395</f>
        <v>C0051</v>
      </c>
      <c r="B395" s="4">
        <f>Raw_Data!B395</f>
        <v>45780</v>
      </c>
      <c r="C395" s="3" t="str">
        <f>Raw_Data!C395</f>
        <v>LinkedIn</v>
      </c>
      <c r="D395" s="3" t="str">
        <f>Raw_Data!D395</f>
        <v>South</v>
      </c>
      <c r="E395" s="5">
        <f>Raw_Data!E395</f>
        <v>9357.86</v>
      </c>
      <c r="F395" s="5">
        <f>Raw_Data!F395</f>
        <v>8158.82</v>
      </c>
      <c r="G395" s="3">
        <f>Raw_Data!G395</f>
        <v>160805</v>
      </c>
      <c r="H395" s="3">
        <f>Raw_Data!H395</f>
        <v>1964</v>
      </c>
      <c r="I395" s="3">
        <f>Raw_Data!I395</f>
        <v>323</v>
      </c>
      <c r="J395" s="5">
        <f>Raw_Data!J395</f>
        <v>7864.03</v>
      </c>
      <c r="K395" s="6">
        <f t="shared" si="42"/>
        <v>0.0122135505736762</v>
      </c>
      <c r="L395" s="5">
        <f t="shared" si="43"/>
        <v>4.15418533604888</v>
      </c>
      <c r="M395" s="5">
        <f t="shared" si="44"/>
        <v>25.2595046439628</v>
      </c>
      <c r="N395" s="7">
        <f t="shared" si="45"/>
        <v>0.963868549618695</v>
      </c>
      <c r="O395" s="5">
        <f t="shared" si="46"/>
        <v>-294.79</v>
      </c>
      <c r="P395" s="8">
        <f t="shared" si="47"/>
        <v>-3.74858692044664</v>
      </c>
      <c r="Q395" s="3" t="str">
        <f t="shared" si="48"/>
        <v>2025-05</v>
      </c>
    </row>
    <row r="396" customHeight="1" spans="1:17">
      <c r="A396" s="3" t="str">
        <f>Raw_Data!A396</f>
        <v>C0001</v>
      </c>
      <c r="B396" s="4">
        <f>Raw_Data!B396</f>
        <v>45780</v>
      </c>
      <c r="C396" s="3" t="str">
        <f>Raw_Data!C396</f>
        <v>Google Ads</v>
      </c>
      <c r="D396" s="3" t="str">
        <f>Raw_Data!D396</f>
        <v>East</v>
      </c>
      <c r="E396" s="5">
        <f>Raw_Data!E396</f>
        <v>5621.78</v>
      </c>
      <c r="F396" s="5">
        <f>Raw_Data!F396</f>
        <v>6100.84</v>
      </c>
      <c r="G396" s="3">
        <f>Raw_Data!G396</f>
        <v>120704</v>
      </c>
      <c r="H396" s="3">
        <f>Raw_Data!H396</f>
        <v>5511</v>
      </c>
      <c r="I396" s="3">
        <f>Raw_Data!I396</f>
        <v>1050</v>
      </c>
      <c r="J396" s="5">
        <f>Raw_Data!J396</f>
        <v>44057.81</v>
      </c>
      <c r="K396" s="6">
        <f t="shared" si="42"/>
        <v>0.0456571447507953</v>
      </c>
      <c r="L396" s="5">
        <f t="shared" si="43"/>
        <v>1.10702957720922</v>
      </c>
      <c r="M396" s="5">
        <f t="shared" si="44"/>
        <v>5.81032380952381</v>
      </c>
      <c r="N396" s="7">
        <f t="shared" si="45"/>
        <v>7.22159735380702</v>
      </c>
      <c r="O396" s="5">
        <f t="shared" si="46"/>
        <v>37956.97</v>
      </c>
      <c r="P396" s="8">
        <f t="shared" si="47"/>
        <v>86.1526480776053</v>
      </c>
      <c r="Q396" s="3" t="str">
        <f t="shared" si="48"/>
        <v>2025-05</v>
      </c>
    </row>
    <row r="397" customHeight="1" spans="1:17">
      <c r="A397" s="3" t="str">
        <f>Raw_Data!A397</f>
        <v>C0173</v>
      </c>
      <c r="B397" s="4">
        <f>Raw_Data!B397</f>
        <v>45781</v>
      </c>
      <c r="C397" s="3" t="str">
        <f>Raw_Data!C397</f>
        <v>LinkedIn</v>
      </c>
      <c r="D397" s="3" t="str">
        <f>Raw_Data!D397</f>
        <v>North</v>
      </c>
      <c r="E397" s="5">
        <f>Raw_Data!E397</f>
        <v>5635.24</v>
      </c>
      <c r="F397" s="5">
        <f>Raw_Data!F397</f>
        <v>5878.49</v>
      </c>
      <c r="G397" s="3">
        <f>Raw_Data!G397</f>
        <v>136337</v>
      </c>
      <c r="H397" s="3">
        <f>Raw_Data!H397</f>
        <v>3490</v>
      </c>
      <c r="I397" s="3">
        <f>Raw_Data!I397</f>
        <v>132</v>
      </c>
      <c r="J397" s="5">
        <f>Raw_Data!J397</f>
        <v>6549.61</v>
      </c>
      <c r="K397" s="6">
        <f t="shared" si="42"/>
        <v>0.0255983335411517</v>
      </c>
      <c r="L397" s="5">
        <f t="shared" si="43"/>
        <v>1.68438108882521</v>
      </c>
      <c r="M397" s="5">
        <f t="shared" si="44"/>
        <v>44.5340151515151</v>
      </c>
      <c r="N397" s="7">
        <f t="shared" si="45"/>
        <v>1.11416537240006</v>
      </c>
      <c r="O397" s="5">
        <f t="shared" si="46"/>
        <v>671.12</v>
      </c>
      <c r="P397" s="8">
        <f t="shared" si="47"/>
        <v>10.246716980095</v>
      </c>
      <c r="Q397" s="3" t="str">
        <f t="shared" si="48"/>
        <v>2025-05</v>
      </c>
    </row>
    <row r="398" customHeight="1" spans="1:17">
      <c r="A398" s="3" t="str">
        <f>Raw_Data!A398</f>
        <v>C0474</v>
      </c>
      <c r="B398" s="4">
        <f>Raw_Data!B398</f>
        <v>45782</v>
      </c>
      <c r="C398" s="3" t="str">
        <f>Raw_Data!C398</f>
        <v>Instagram</v>
      </c>
      <c r="D398" s="3" t="str">
        <f>Raw_Data!D398</f>
        <v>South</v>
      </c>
      <c r="E398" s="5">
        <f>Raw_Data!E398</f>
        <v>9537.13</v>
      </c>
      <c r="F398" s="5">
        <f>Raw_Data!F398</f>
        <v>8534.27</v>
      </c>
      <c r="G398" s="3">
        <f>Raw_Data!G398</f>
        <v>59862</v>
      </c>
      <c r="H398" s="3">
        <f>Raw_Data!H398</f>
        <v>2333</v>
      </c>
      <c r="I398" s="3">
        <f>Raw_Data!I398</f>
        <v>272</v>
      </c>
      <c r="J398" s="5">
        <f>Raw_Data!J398</f>
        <v>9579.04</v>
      </c>
      <c r="K398" s="6">
        <f t="shared" si="42"/>
        <v>0.0389729711670175</v>
      </c>
      <c r="L398" s="5">
        <f t="shared" si="43"/>
        <v>3.65806686669524</v>
      </c>
      <c r="M398" s="5">
        <f t="shared" si="44"/>
        <v>31.3759926470588</v>
      </c>
      <c r="N398" s="7">
        <f t="shared" si="45"/>
        <v>1.12242054680717</v>
      </c>
      <c r="O398" s="5">
        <f t="shared" si="46"/>
        <v>1044.77</v>
      </c>
      <c r="P398" s="8">
        <f t="shared" si="47"/>
        <v>10.9068340877583</v>
      </c>
      <c r="Q398" s="3" t="str">
        <f t="shared" si="48"/>
        <v>2025-05</v>
      </c>
    </row>
    <row r="399" customHeight="1" spans="1:17">
      <c r="A399" s="3" t="str">
        <f>Raw_Data!A399</f>
        <v>C0315</v>
      </c>
      <c r="B399" s="4">
        <f>Raw_Data!B399</f>
        <v>45783</v>
      </c>
      <c r="C399" s="3" t="str">
        <f>Raw_Data!C399</f>
        <v>Twitter</v>
      </c>
      <c r="D399" s="3" t="str">
        <f>Raw_Data!D399</f>
        <v>East</v>
      </c>
      <c r="E399" s="5">
        <f>Raw_Data!E399</f>
        <v>7559.94</v>
      </c>
      <c r="F399" s="5">
        <f>Raw_Data!F399</f>
        <v>7929.79</v>
      </c>
      <c r="G399" s="3">
        <f>Raw_Data!G399</f>
        <v>98472</v>
      </c>
      <c r="H399" s="3">
        <f>Raw_Data!H399</f>
        <v>4803</v>
      </c>
      <c r="I399" s="3">
        <f>Raw_Data!I399</f>
        <v>235</v>
      </c>
      <c r="J399" s="5">
        <f>Raw_Data!J399</f>
        <v>6155.27</v>
      </c>
      <c r="K399" s="6">
        <f t="shared" si="42"/>
        <v>0.0487752863758226</v>
      </c>
      <c r="L399" s="5">
        <f t="shared" si="43"/>
        <v>1.65100770351863</v>
      </c>
      <c r="M399" s="5">
        <f t="shared" si="44"/>
        <v>33.7437872340425</v>
      </c>
      <c r="N399" s="7">
        <f t="shared" si="45"/>
        <v>0.776221060078514</v>
      </c>
      <c r="O399" s="5">
        <f t="shared" si="46"/>
        <v>-1774.52</v>
      </c>
      <c r="P399" s="8">
        <f t="shared" si="47"/>
        <v>-28.8292796254267</v>
      </c>
      <c r="Q399" s="3" t="str">
        <f t="shared" si="48"/>
        <v>2025-05</v>
      </c>
    </row>
    <row r="400" customHeight="1" spans="1:17">
      <c r="A400" s="3" t="str">
        <f>Raw_Data!A400</f>
        <v>C0161</v>
      </c>
      <c r="B400" s="4">
        <f>Raw_Data!B400</f>
        <v>45783</v>
      </c>
      <c r="C400" s="3" t="str">
        <f>Raw_Data!C400</f>
        <v>Google Ads</v>
      </c>
      <c r="D400" s="3" t="str">
        <f>Raw_Data!D400</f>
        <v>South</v>
      </c>
      <c r="E400" s="5">
        <f>Raw_Data!E400</f>
        <v>7405.79</v>
      </c>
      <c r="F400" s="5">
        <f>Raw_Data!F400</f>
        <v>7470.4</v>
      </c>
      <c r="G400" s="3">
        <f>Raw_Data!G400</f>
        <v>119094</v>
      </c>
      <c r="H400" s="3">
        <f>Raw_Data!H400</f>
        <v>5829</v>
      </c>
      <c r="I400" s="3">
        <f>Raw_Data!I400</f>
        <v>550</v>
      </c>
      <c r="J400" s="5">
        <f>Raw_Data!J400</f>
        <v>18499.93</v>
      </c>
      <c r="K400" s="6">
        <f t="shared" si="42"/>
        <v>0.0489445312106403</v>
      </c>
      <c r="L400" s="5">
        <f t="shared" si="43"/>
        <v>1.281592039801</v>
      </c>
      <c r="M400" s="5">
        <f t="shared" si="44"/>
        <v>13.5825454545455</v>
      </c>
      <c r="N400" s="7">
        <f t="shared" si="45"/>
        <v>2.4764309809381</v>
      </c>
      <c r="O400" s="5">
        <f t="shared" si="46"/>
        <v>11029.53</v>
      </c>
      <c r="P400" s="8">
        <f t="shared" si="47"/>
        <v>59.6193066676469</v>
      </c>
      <c r="Q400" s="3" t="str">
        <f t="shared" si="48"/>
        <v>2025-05</v>
      </c>
    </row>
    <row r="401" customHeight="1" spans="1:17">
      <c r="A401" s="3" t="str">
        <f>Raw_Data!A401</f>
        <v>C0121</v>
      </c>
      <c r="B401" s="4">
        <f>Raw_Data!B401</f>
        <v>45784</v>
      </c>
      <c r="C401" s="3" t="str">
        <f>Raw_Data!C401</f>
        <v>Google Ads</v>
      </c>
      <c r="D401" s="3" t="str">
        <f>Raw_Data!D401</f>
        <v>North</v>
      </c>
      <c r="E401" s="5">
        <f>Raw_Data!E401</f>
        <v>5717.19</v>
      </c>
      <c r="F401" s="5">
        <f>Raw_Data!F401</f>
        <v>5677.09</v>
      </c>
      <c r="G401" s="3">
        <f>Raw_Data!G401</f>
        <v>149623</v>
      </c>
      <c r="H401" s="3">
        <f>Raw_Data!H401</f>
        <v>2483</v>
      </c>
      <c r="I401" s="3">
        <f>Raw_Data!I401</f>
        <v>463</v>
      </c>
      <c r="J401" s="5">
        <f>Raw_Data!J401</f>
        <v>15625.13</v>
      </c>
      <c r="K401" s="6">
        <f t="shared" si="42"/>
        <v>0.0165950422060779</v>
      </c>
      <c r="L401" s="5">
        <f t="shared" si="43"/>
        <v>2.28638340716875</v>
      </c>
      <c r="M401" s="5">
        <f t="shared" si="44"/>
        <v>12.2615334773218</v>
      </c>
      <c r="N401" s="7">
        <f t="shared" si="45"/>
        <v>2.75231324498995</v>
      </c>
      <c r="O401" s="5">
        <f t="shared" si="46"/>
        <v>9948.04</v>
      </c>
      <c r="P401" s="8">
        <f t="shared" si="47"/>
        <v>63.6669262911733</v>
      </c>
      <c r="Q401" s="3" t="str">
        <f t="shared" si="48"/>
        <v>2025-05</v>
      </c>
    </row>
    <row r="402" customHeight="1" spans="1:17">
      <c r="A402" s="3" t="str">
        <f>Raw_Data!A402</f>
        <v>C0342</v>
      </c>
      <c r="B402" s="4">
        <f>Raw_Data!B402</f>
        <v>45784</v>
      </c>
      <c r="C402" s="3" t="str">
        <f>Raw_Data!C402</f>
        <v>LinkedIn</v>
      </c>
      <c r="D402" s="3" t="str">
        <f>Raw_Data!D402</f>
        <v>North</v>
      </c>
      <c r="E402" s="5">
        <f>Raw_Data!E402</f>
        <v>9797.41</v>
      </c>
      <c r="F402" s="5">
        <f>Raw_Data!F402</f>
        <v>10613.34</v>
      </c>
      <c r="G402" s="3">
        <f>Raw_Data!G402</f>
        <v>196954</v>
      </c>
      <c r="H402" s="3">
        <f>Raw_Data!H402</f>
        <v>4588</v>
      </c>
      <c r="I402" s="3">
        <f>Raw_Data!I402</f>
        <v>657</v>
      </c>
      <c r="J402" s="5">
        <f>Raw_Data!J402</f>
        <v>22486.76</v>
      </c>
      <c r="K402" s="6">
        <f t="shared" si="42"/>
        <v>0.023294779491658</v>
      </c>
      <c r="L402" s="5">
        <f t="shared" si="43"/>
        <v>2.31328247602441</v>
      </c>
      <c r="M402" s="5">
        <f t="shared" si="44"/>
        <v>16.1542465753425</v>
      </c>
      <c r="N402" s="7">
        <f t="shared" si="45"/>
        <v>2.1187260560766</v>
      </c>
      <c r="O402" s="5">
        <f t="shared" si="46"/>
        <v>11873.42</v>
      </c>
      <c r="P402" s="8">
        <f t="shared" si="47"/>
        <v>52.8018264970142</v>
      </c>
      <c r="Q402" s="3" t="str">
        <f t="shared" si="48"/>
        <v>2025-05</v>
      </c>
    </row>
    <row r="403" customHeight="1" spans="1:17">
      <c r="A403" s="3" t="str">
        <f>Raw_Data!A403</f>
        <v>C0022</v>
      </c>
      <c r="B403" s="4">
        <f>Raw_Data!B403</f>
        <v>45784</v>
      </c>
      <c r="C403" s="3" t="str">
        <f>Raw_Data!C403</f>
        <v>Instagram</v>
      </c>
      <c r="D403" s="3" t="str">
        <f>Raw_Data!D403</f>
        <v>West</v>
      </c>
      <c r="E403" s="5">
        <f>Raw_Data!E403</f>
        <v>5497.27</v>
      </c>
      <c r="F403" s="5">
        <f>Raw_Data!F403</f>
        <v>4861.13</v>
      </c>
      <c r="G403" s="3">
        <f>Raw_Data!G403</f>
        <v>156949</v>
      </c>
      <c r="H403" s="3">
        <f>Raw_Data!H403</f>
        <v>1762</v>
      </c>
      <c r="I403" s="3">
        <f>Raw_Data!I403</f>
        <v>304</v>
      </c>
      <c r="J403" s="5">
        <f>Raw_Data!J403</f>
        <v>11029.39</v>
      </c>
      <c r="K403" s="6">
        <f t="shared" si="42"/>
        <v>0.0112265767860897</v>
      </c>
      <c r="L403" s="5">
        <f t="shared" si="43"/>
        <v>2.7588706015891</v>
      </c>
      <c r="M403" s="5">
        <f t="shared" si="44"/>
        <v>15.9905592105263</v>
      </c>
      <c r="N403" s="7">
        <f t="shared" si="45"/>
        <v>2.26889426943941</v>
      </c>
      <c r="O403" s="5">
        <f t="shared" si="46"/>
        <v>6168.26</v>
      </c>
      <c r="P403" s="8">
        <f t="shared" si="47"/>
        <v>55.9256676933176</v>
      </c>
      <c r="Q403" s="3" t="str">
        <f t="shared" si="48"/>
        <v>2025-05</v>
      </c>
    </row>
    <row r="404" customHeight="1" spans="1:17">
      <c r="A404" s="3" t="str">
        <f>Raw_Data!A404</f>
        <v>C0090</v>
      </c>
      <c r="B404" s="4">
        <f>Raw_Data!B404</f>
        <v>45784</v>
      </c>
      <c r="C404" s="3" t="str">
        <f>Raw_Data!C404</f>
        <v>Facebook</v>
      </c>
      <c r="D404" s="3" t="str">
        <f>Raw_Data!D404</f>
        <v>East</v>
      </c>
      <c r="E404" s="5">
        <f>Raw_Data!E404</f>
        <v>7917.39</v>
      </c>
      <c r="F404" s="5">
        <f>Raw_Data!F404</f>
        <v>7187.78</v>
      </c>
      <c r="G404" s="3">
        <f>Raw_Data!G404</f>
        <v>133842</v>
      </c>
      <c r="H404" s="3">
        <f>Raw_Data!H404</f>
        <v>1394</v>
      </c>
      <c r="I404" s="3">
        <f>Raw_Data!I404</f>
        <v>197</v>
      </c>
      <c r="J404" s="5">
        <f>Raw_Data!J404</f>
        <v>5675.13</v>
      </c>
      <c r="K404" s="6">
        <f t="shared" si="42"/>
        <v>0.0104152657611213</v>
      </c>
      <c r="L404" s="5">
        <f t="shared" si="43"/>
        <v>5.15622668579627</v>
      </c>
      <c r="M404" s="5">
        <f t="shared" si="44"/>
        <v>36.486192893401</v>
      </c>
      <c r="N404" s="7">
        <f t="shared" si="45"/>
        <v>0.789552546126899</v>
      </c>
      <c r="O404" s="5">
        <f t="shared" si="46"/>
        <v>-1512.65</v>
      </c>
      <c r="P404" s="8">
        <f t="shared" si="47"/>
        <v>-26.6540149741063</v>
      </c>
      <c r="Q404" s="3" t="str">
        <f t="shared" si="48"/>
        <v>2025-05</v>
      </c>
    </row>
    <row r="405" customHeight="1" spans="1:17">
      <c r="A405" s="3" t="str">
        <f>Raw_Data!A405</f>
        <v>C0149</v>
      </c>
      <c r="B405" s="4">
        <f>Raw_Data!B405</f>
        <v>45784</v>
      </c>
      <c r="C405" s="3" t="str">
        <f>Raw_Data!C405</f>
        <v>Facebook</v>
      </c>
      <c r="D405" s="3" t="str">
        <f>Raw_Data!D405</f>
        <v>North</v>
      </c>
      <c r="E405" s="5">
        <f>Raw_Data!E405</f>
        <v>8689.6</v>
      </c>
      <c r="F405" s="5">
        <f>Raw_Data!F405</f>
        <v>9421.04</v>
      </c>
      <c r="G405" s="3">
        <f>Raw_Data!G405</f>
        <v>162097</v>
      </c>
      <c r="H405" s="3">
        <f>Raw_Data!H405</f>
        <v>7152</v>
      </c>
      <c r="I405" s="3">
        <f>Raw_Data!I405</f>
        <v>1126</v>
      </c>
      <c r="J405" s="5">
        <f>Raw_Data!J405</f>
        <v>55827.12</v>
      </c>
      <c r="K405" s="6">
        <f t="shared" si="42"/>
        <v>0.0441217295816702</v>
      </c>
      <c r="L405" s="5">
        <f t="shared" si="43"/>
        <v>1.31725950782998</v>
      </c>
      <c r="M405" s="5">
        <f t="shared" si="44"/>
        <v>8.36682060390764</v>
      </c>
      <c r="N405" s="7">
        <f t="shared" si="45"/>
        <v>5.92579163234632</v>
      </c>
      <c r="O405" s="5">
        <f t="shared" si="46"/>
        <v>46406.08</v>
      </c>
      <c r="P405" s="8">
        <f t="shared" si="47"/>
        <v>83.1246175693821</v>
      </c>
      <c r="Q405" s="3" t="str">
        <f t="shared" si="48"/>
        <v>2025-05</v>
      </c>
    </row>
    <row r="406" customHeight="1" spans="1:17">
      <c r="A406" s="3" t="str">
        <f>Raw_Data!A406</f>
        <v>C0045</v>
      </c>
      <c r="B406" s="4">
        <f>Raw_Data!B406</f>
        <v>45785</v>
      </c>
      <c r="C406" s="3" t="str">
        <f>Raw_Data!C406</f>
        <v>Twitter</v>
      </c>
      <c r="D406" s="3" t="str">
        <f>Raw_Data!D406</f>
        <v>South</v>
      </c>
      <c r="E406" s="5">
        <f>Raw_Data!E406</f>
        <v>3839.06</v>
      </c>
      <c r="F406" s="5">
        <f>Raw_Data!F406</f>
        <v>3460.09</v>
      </c>
      <c r="G406" s="3">
        <f>Raw_Data!G406</f>
        <v>157185</v>
      </c>
      <c r="H406" s="3">
        <f>Raw_Data!H406</f>
        <v>1409</v>
      </c>
      <c r="I406" s="3">
        <f>Raw_Data!I406</f>
        <v>97</v>
      </c>
      <c r="J406" s="5">
        <f>Raw_Data!J406</f>
        <v>4683.87</v>
      </c>
      <c r="K406" s="6">
        <f t="shared" si="42"/>
        <v>0.00896395966536247</v>
      </c>
      <c r="L406" s="5">
        <f t="shared" si="43"/>
        <v>2.45570617459191</v>
      </c>
      <c r="M406" s="5">
        <f t="shared" si="44"/>
        <v>35.6710309278351</v>
      </c>
      <c r="N406" s="7">
        <f t="shared" si="45"/>
        <v>1.35368444173417</v>
      </c>
      <c r="O406" s="5">
        <f t="shared" si="46"/>
        <v>1223.78</v>
      </c>
      <c r="P406" s="8">
        <f t="shared" si="47"/>
        <v>26.1275398335137</v>
      </c>
      <c r="Q406" s="3" t="str">
        <f t="shared" si="48"/>
        <v>2025-05</v>
      </c>
    </row>
    <row r="407" customHeight="1" spans="1:17">
      <c r="A407" s="3" t="str">
        <f>Raw_Data!A407</f>
        <v>C0157</v>
      </c>
      <c r="B407" s="4">
        <f>Raw_Data!B407</f>
        <v>45785</v>
      </c>
      <c r="C407" s="3" t="str">
        <f>Raw_Data!C407</f>
        <v>Facebook</v>
      </c>
      <c r="D407" s="3" t="str">
        <f>Raw_Data!D407</f>
        <v>West</v>
      </c>
      <c r="E407" s="5">
        <f>Raw_Data!E407</f>
        <v>4565.17</v>
      </c>
      <c r="F407" s="5">
        <f>Raw_Data!F407</f>
        <v>4971.32</v>
      </c>
      <c r="G407" s="3">
        <f>Raw_Data!G407</f>
        <v>161384</v>
      </c>
      <c r="H407" s="3">
        <f>Raw_Data!H407</f>
        <v>4375</v>
      </c>
      <c r="I407" s="3">
        <f>Raw_Data!I407</f>
        <v>117</v>
      </c>
      <c r="J407" s="5">
        <f>Raw_Data!J407</f>
        <v>2382.66</v>
      </c>
      <c r="K407" s="6">
        <f t="shared" si="42"/>
        <v>0.0271092549447281</v>
      </c>
      <c r="L407" s="5">
        <f t="shared" si="43"/>
        <v>1.13630171428571</v>
      </c>
      <c r="M407" s="5">
        <f t="shared" si="44"/>
        <v>42.4899145299145</v>
      </c>
      <c r="N407" s="7">
        <f t="shared" si="45"/>
        <v>0.479281156714917</v>
      </c>
      <c r="O407" s="5">
        <f t="shared" si="46"/>
        <v>-2588.66</v>
      </c>
      <c r="P407" s="8">
        <f t="shared" si="47"/>
        <v>-108.64579923279</v>
      </c>
      <c r="Q407" s="3" t="str">
        <f t="shared" si="48"/>
        <v>2025-05</v>
      </c>
    </row>
    <row r="408" customHeight="1" spans="1:17">
      <c r="A408" s="3" t="str">
        <f>Raw_Data!A408</f>
        <v>C0072</v>
      </c>
      <c r="B408" s="4">
        <f>Raw_Data!B408</f>
        <v>45785</v>
      </c>
      <c r="C408" s="3" t="str">
        <f>Raw_Data!C408</f>
        <v>LinkedIn</v>
      </c>
      <c r="D408" s="3" t="str">
        <f>Raw_Data!D408</f>
        <v>North</v>
      </c>
      <c r="E408" s="5">
        <f>Raw_Data!E408</f>
        <v>4569.89</v>
      </c>
      <c r="F408" s="5">
        <f>Raw_Data!F408</f>
        <v>4632.29</v>
      </c>
      <c r="G408" s="3">
        <f>Raw_Data!G408</f>
        <v>72528</v>
      </c>
      <c r="H408" s="3">
        <f>Raw_Data!H408</f>
        <v>1306</v>
      </c>
      <c r="I408" s="3">
        <f>Raw_Data!I408</f>
        <v>139</v>
      </c>
      <c r="J408" s="5">
        <f>Raw_Data!J408</f>
        <v>3769.33</v>
      </c>
      <c r="K408" s="6">
        <f t="shared" si="42"/>
        <v>0.0180068387381425</v>
      </c>
      <c r="L408" s="5">
        <f t="shared" si="43"/>
        <v>3.54692955589587</v>
      </c>
      <c r="M408" s="5">
        <f t="shared" si="44"/>
        <v>33.3258273381295</v>
      </c>
      <c r="N408" s="7">
        <f t="shared" si="45"/>
        <v>0.813707691012437</v>
      </c>
      <c r="O408" s="5">
        <f t="shared" si="46"/>
        <v>-862.96</v>
      </c>
      <c r="P408" s="8">
        <f t="shared" si="47"/>
        <v>-22.8942544165674</v>
      </c>
      <c r="Q408" s="3" t="str">
        <f t="shared" si="48"/>
        <v>2025-05</v>
      </c>
    </row>
    <row r="409" customHeight="1" spans="1:17">
      <c r="A409" s="3" t="str">
        <f>Raw_Data!A409</f>
        <v>C0374</v>
      </c>
      <c r="B409" s="4">
        <f>Raw_Data!B409</f>
        <v>45785</v>
      </c>
      <c r="C409" s="3" t="str">
        <f>Raw_Data!C409</f>
        <v>Instagram</v>
      </c>
      <c r="D409" s="3" t="str">
        <f>Raw_Data!D409</f>
        <v>West</v>
      </c>
      <c r="E409" s="5">
        <f>Raw_Data!E409</f>
        <v>3906.6</v>
      </c>
      <c r="F409" s="5">
        <f>Raw_Data!F409</f>
        <v>4166.87</v>
      </c>
      <c r="G409" s="3">
        <f>Raw_Data!G409</f>
        <v>184724</v>
      </c>
      <c r="H409" s="3">
        <f>Raw_Data!H409</f>
        <v>5850</v>
      </c>
      <c r="I409" s="3">
        <f>Raw_Data!I409</f>
        <v>633</v>
      </c>
      <c r="J409" s="5">
        <f>Raw_Data!J409</f>
        <v>30807.82</v>
      </c>
      <c r="K409" s="6">
        <f t="shared" si="42"/>
        <v>0.0316688681492389</v>
      </c>
      <c r="L409" s="5">
        <f t="shared" si="43"/>
        <v>0.71228547008547</v>
      </c>
      <c r="M409" s="5">
        <f t="shared" si="44"/>
        <v>6.58273301737757</v>
      </c>
      <c r="N409" s="7">
        <f t="shared" si="45"/>
        <v>7.39351599641938</v>
      </c>
      <c r="O409" s="5">
        <f t="shared" si="46"/>
        <v>26640.95</v>
      </c>
      <c r="P409" s="8">
        <f t="shared" si="47"/>
        <v>86.4746353360932</v>
      </c>
      <c r="Q409" s="3" t="str">
        <f t="shared" si="48"/>
        <v>2025-05</v>
      </c>
    </row>
    <row r="410" customHeight="1" spans="1:17">
      <c r="A410" s="3" t="str">
        <f>Raw_Data!A410</f>
        <v>C0396</v>
      </c>
      <c r="B410" s="4">
        <f>Raw_Data!B410</f>
        <v>45786</v>
      </c>
      <c r="C410" s="3" t="str">
        <f>Raw_Data!C410</f>
        <v>Facebook</v>
      </c>
      <c r="D410" s="3" t="str">
        <f>Raw_Data!D410</f>
        <v>South</v>
      </c>
      <c r="E410" s="5">
        <f>Raw_Data!E410</f>
        <v>9560.6</v>
      </c>
      <c r="F410" s="5">
        <f>Raw_Data!F410</f>
        <v>9621.46</v>
      </c>
      <c r="G410" s="3">
        <f>Raw_Data!G410</f>
        <v>165271</v>
      </c>
      <c r="H410" s="3">
        <f>Raw_Data!H410</f>
        <v>3470</v>
      </c>
      <c r="I410" s="3">
        <f>Raw_Data!I410</f>
        <v>651</v>
      </c>
      <c r="J410" s="5">
        <f>Raw_Data!J410</f>
        <v>14344.86</v>
      </c>
      <c r="K410" s="6">
        <f t="shared" si="42"/>
        <v>0.0209958189882072</v>
      </c>
      <c r="L410" s="5">
        <f t="shared" si="43"/>
        <v>2.77275504322767</v>
      </c>
      <c r="M410" s="5">
        <f t="shared" si="44"/>
        <v>14.7795084485407</v>
      </c>
      <c r="N410" s="7">
        <f t="shared" si="45"/>
        <v>1.4909234149495</v>
      </c>
      <c r="O410" s="5">
        <f t="shared" si="46"/>
        <v>4723.4</v>
      </c>
      <c r="P410" s="8">
        <f t="shared" si="47"/>
        <v>32.927473673497</v>
      </c>
      <c r="Q410" s="3" t="str">
        <f t="shared" si="48"/>
        <v>2025-05</v>
      </c>
    </row>
    <row r="411" customHeight="1" spans="1:17">
      <c r="A411" s="3" t="str">
        <f>Raw_Data!A411</f>
        <v>C0456</v>
      </c>
      <c r="B411" s="4">
        <f>Raw_Data!B411</f>
        <v>45786</v>
      </c>
      <c r="C411" s="3" t="str">
        <f>Raw_Data!C411</f>
        <v>Google Ads</v>
      </c>
      <c r="D411" s="3" t="str">
        <f>Raw_Data!D411</f>
        <v>North</v>
      </c>
      <c r="E411" s="5">
        <f>Raw_Data!E411</f>
        <v>3920.97</v>
      </c>
      <c r="F411" s="5">
        <f>Raw_Data!F411</f>
        <v>3978.79</v>
      </c>
      <c r="G411" s="3">
        <f>Raw_Data!G411</f>
        <v>192117</v>
      </c>
      <c r="H411" s="3">
        <f>Raw_Data!H411</f>
        <v>4361</v>
      </c>
      <c r="I411" s="3">
        <f>Raw_Data!I411</f>
        <v>98</v>
      </c>
      <c r="J411" s="5">
        <f>Raw_Data!J411</f>
        <v>4632.56</v>
      </c>
      <c r="K411" s="6">
        <f t="shared" si="42"/>
        <v>0.0226997090314756</v>
      </c>
      <c r="L411" s="5">
        <f t="shared" si="43"/>
        <v>0.912357257509746</v>
      </c>
      <c r="M411" s="5">
        <f t="shared" si="44"/>
        <v>40.5998979591837</v>
      </c>
      <c r="N411" s="7">
        <f t="shared" si="45"/>
        <v>1.1643137737855</v>
      </c>
      <c r="O411" s="5">
        <f t="shared" si="46"/>
        <v>653.77</v>
      </c>
      <c r="P411" s="8">
        <f t="shared" si="47"/>
        <v>14.1124993524099</v>
      </c>
      <c r="Q411" s="3" t="str">
        <f t="shared" si="48"/>
        <v>2025-05</v>
      </c>
    </row>
    <row r="412" customHeight="1" spans="1:17">
      <c r="A412" s="3" t="str">
        <f>Raw_Data!A412</f>
        <v>C0140</v>
      </c>
      <c r="B412" s="4">
        <f>Raw_Data!B412</f>
        <v>45787</v>
      </c>
      <c r="C412" s="3" t="str">
        <f>Raw_Data!C412</f>
        <v>Facebook</v>
      </c>
      <c r="D412" s="3" t="str">
        <f>Raw_Data!D412</f>
        <v>North</v>
      </c>
      <c r="E412" s="5">
        <f>Raw_Data!E412</f>
        <v>5300.65</v>
      </c>
      <c r="F412" s="5">
        <f>Raw_Data!F412</f>
        <v>5309.96</v>
      </c>
      <c r="G412" s="3">
        <f>Raw_Data!G412</f>
        <v>58780</v>
      </c>
      <c r="H412" s="3">
        <f>Raw_Data!H412</f>
        <v>1712</v>
      </c>
      <c r="I412" s="3">
        <f>Raw_Data!I412</f>
        <v>92</v>
      </c>
      <c r="J412" s="5">
        <f>Raw_Data!J412</f>
        <v>3916.55</v>
      </c>
      <c r="K412" s="6">
        <f t="shared" si="42"/>
        <v>0.0291255529091528</v>
      </c>
      <c r="L412" s="5">
        <f t="shared" si="43"/>
        <v>3.10161214953271</v>
      </c>
      <c r="M412" s="5">
        <f t="shared" si="44"/>
        <v>57.7169565217391</v>
      </c>
      <c r="N412" s="7">
        <f t="shared" si="45"/>
        <v>0.737585593865114</v>
      </c>
      <c r="O412" s="5">
        <f t="shared" si="46"/>
        <v>-1393.41</v>
      </c>
      <c r="P412" s="8">
        <f t="shared" si="47"/>
        <v>-35.5774852867958</v>
      </c>
      <c r="Q412" s="3" t="str">
        <f t="shared" si="48"/>
        <v>2025-05</v>
      </c>
    </row>
    <row r="413" customHeight="1" spans="1:17">
      <c r="A413" s="3" t="str">
        <f>Raw_Data!A413</f>
        <v>C0380</v>
      </c>
      <c r="B413" s="4">
        <f>Raw_Data!B413</f>
        <v>45787</v>
      </c>
      <c r="C413" s="3" t="str">
        <f>Raw_Data!C413</f>
        <v>Google Ads</v>
      </c>
      <c r="D413" s="3" t="str">
        <f>Raw_Data!D413</f>
        <v>East</v>
      </c>
      <c r="E413" s="5">
        <f>Raw_Data!E413</f>
        <v>6466.03</v>
      </c>
      <c r="F413" s="5">
        <f>Raw_Data!F413</f>
        <v>6105.07</v>
      </c>
      <c r="G413" s="3">
        <f>Raw_Data!G413</f>
        <v>186219</v>
      </c>
      <c r="H413" s="3">
        <f>Raw_Data!H413</f>
        <v>6823</v>
      </c>
      <c r="I413" s="3">
        <f>Raw_Data!I413</f>
        <v>526</v>
      </c>
      <c r="J413" s="5">
        <f>Raw_Data!J413</f>
        <v>19868.19</v>
      </c>
      <c r="K413" s="6">
        <f t="shared" si="42"/>
        <v>0.0366396554594322</v>
      </c>
      <c r="L413" s="5">
        <f t="shared" si="43"/>
        <v>0.89477795691045</v>
      </c>
      <c r="M413" s="5">
        <f t="shared" si="44"/>
        <v>11.6065969581749</v>
      </c>
      <c r="N413" s="7">
        <f t="shared" si="45"/>
        <v>3.25437546170642</v>
      </c>
      <c r="O413" s="5">
        <f t="shared" si="46"/>
        <v>13763.12</v>
      </c>
      <c r="P413" s="8">
        <f t="shared" si="47"/>
        <v>69.2721380256581</v>
      </c>
      <c r="Q413" s="3" t="str">
        <f t="shared" si="48"/>
        <v>2025-05</v>
      </c>
    </row>
    <row r="414" customHeight="1" spans="1:17">
      <c r="A414" s="3" t="str">
        <f>Raw_Data!A414</f>
        <v>C0142</v>
      </c>
      <c r="B414" s="4">
        <f>Raw_Data!B414</f>
        <v>45787</v>
      </c>
      <c r="C414" s="3" t="str">
        <f>Raw_Data!C414</f>
        <v>Instagram</v>
      </c>
      <c r="D414" s="3" t="str">
        <f>Raw_Data!D414</f>
        <v>North</v>
      </c>
      <c r="E414" s="5">
        <f>Raw_Data!E414</f>
        <v>6460.94</v>
      </c>
      <c r="F414" s="5">
        <f>Raw_Data!F414</f>
        <v>5280.32</v>
      </c>
      <c r="G414" s="3">
        <f>Raw_Data!G414</f>
        <v>103994</v>
      </c>
      <c r="H414" s="3">
        <f>Raw_Data!H414</f>
        <v>4644</v>
      </c>
      <c r="I414" s="3">
        <f>Raw_Data!I414</f>
        <v>871</v>
      </c>
      <c r="J414" s="5">
        <f>Raw_Data!J414</f>
        <v>31779.19</v>
      </c>
      <c r="K414" s="6">
        <f t="shared" si="42"/>
        <v>0.0446564224859127</v>
      </c>
      <c r="L414" s="5">
        <f t="shared" si="43"/>
        <v>1.13701981050818</v>
      </c>
      <c r="M414" s="5">
        <f t="shared" si="44"/>
        <v>6.06236509758898</v>
      </c>
      <c r="N414" s="7">
        <f t="shared" si="45"/>
        <v>6.01842123204654</v>
      </c>
      <c r="O414" s="5">
        <f t="shared" si="46"/>
        <v>26498.87</v>
      </c>
      <c r="P414" s="8">
        <f t="shared" si="47"/>
        <v>83.384346800532</v>
      </c>
      <c r="Q414" s="3" t="str">
        <f t="shared" si="48"/>
        <v>2025-05</v>
      </c>
    </row>
    <row r="415" customHeight="1" spans="1:17">
      <c r="A415" s="3" t="str">
        <f>Raw_Data!A415</f>
        <v>C0339</v>
      </c>
      <c r="B415" s="4">
        <f>Raw_Data!B415</f>
        <v>45788</v>
      </c>
      <c r="C415" s="3" t="str">
        <f>Raw_Data!C415</f>
        <v>Instagram</v>
      </c>
      <c r="D415" s="3" t="str">
        <f>Raw_Data!D415</f>
        <v>East</v>
      </c>
      <c r="E415" s="5">
        <f>Raw_Data!E415</f>
        <v>7939.03</v>
      </c>
      <c r="F415" s="5">
        <f>Raw_Data!F415</f>
        <v>8554.9</v>
      </c>
      <c r="G415" s="3">
        <f>Raw_Data!G415</f>
        <v>68639</v>
      </c>
      <c r="H415" s="3">
        <f>Raw_Data!H415</f>
        <v>3348</v>
      </c>
      <c r="I415" s="3">
        <f>Raw_Data!I415</f>
        <v>275</v>
      </c>
      <c r="J415" s="5">
        <f>Raw_Data!J415</f>
        <v>6989.75</v>
      </c>
      <c r="K415" s="6">
        <f t="shared" si="42"/>
        <v>0.0487769343958974</v>
      </c>
      <c r="L415" s="5">
        <f t="shared" si="43"/>
        <v>2.55522700119474</v>
      </c>
      <c r="M415" s="5">
        <f t="shared" si="44"/>
        <v>31.1087272727273</v>
      </c>
      <c r="N415" s="7">
        <f t="shared" si="45"/>
        <v>0.817046371085577</v>
      </c>
      <c r="O415" s="5">
        <f t="shared" si="46"/>
        <v>-1565.15</v>
      </c>
      <c r="P415" s="8">
        <f t="shared" si="47"/>
        <v>-22.392074108516</v>
      </c>
      <c r="Q415" s="3" t="str">
        <f t="shared" si="48"/>
        <v>2025-05</v>
      </c>
    </row>
    <row r="416" customHeight="1" spans="1:17">
      <c r="A416" s="3" t="str">
        <f>Raw_Data!A416</f>
        <v>C0294</v>
      </c>
      <c r="B416" s="4">
        <f>Raw_Data!B416</f>
        <v>45789</v>
      </c>
      <c r="C416" s="3" t="str">
        <f>Raw_Data!C416</f>
        <v>Facebook</v>
      </c>
      <c r="D416" s="3" t="str">
        <f>Raw_Data!D416</f>
        <v>East</v>
      </c>
      <c r="E416" s="5">
        <f>Raw_Data!E416</f>
        <v>4553.81</v>
      </c>
      <c r="F416" s="5">
        <f>Raw_Data!F416</f>
        <v>3958.73</v>
      </c>
      <c r="G416" s="3">
        <f>Raw_Data!G416</f>
        <v>191829</v>
      </c>
      <c r="H416" s="3">
        <f>Raw_Data!H416</f>
        <v>3686</v>
      </c>
      <c r="I416" s="3">
        <f>Raw_Data!I416</f>
        <v>217</v>
      </c>
      <c r="J416" s="5">
        <f>Raw_Data!J416</f>
        <v>8714.02</v>
      </c>
      <c r="K416" s="6">
        <f t="shared" si="42"/>
        <v>0.0192150300528074</v>
      </c>
      <c r="L416" s="5">
        <f t="shared" si="43"/>
        <v>1.07399077590884</v>
      </c>
      <c r="M416" s="5">
        <f t="shared" si="44"/>
        <v>18.2429953917051</v>
      </c>
      <c r="N416" s="7">
        <f t="shared" si="45"/>
        <v>2.20121604656039</v>
      </c>
      <c r="O416" s="5">
        <f t="shared" si="46"/>
        <v>4755.29</v>
      </c>
      <c r="P416" s="8">
        <f t="shared" si="47"/>
        <v>54.5705655942952</v>
      </c>
      <c r="Q416" s="3" t="str">
        <f t="shared" si="48"/>
        <v>2025-05</v>
      </c>
    </row>
    <row r="417" customHeight="1" spans="1:17">
      <c r="A417" s="3" t="str">
        <f>Raw_Data!A417</f>
        <v>C0146</v>
      </c>
      <c r="B417" s="4">
        <f>Raw_Data!B417</f>
        <v>45789</v>
      </c>
      <c r="C417" s="3" t="str">
        <f>Raw_Data!C417</f>
        <v>LinkedIn</v>
      </c>
      <c r="D417" s="3" t="str">
        <f>Raw_Data!D417</f>
        <v>West</v>
      </c>
      <c r="E417" s="5">
        <f>Raw_Data!E417</f>
        <v>7906.78</v>
      </c>
      <c r="F417" s="5">
        <f>Raw_Data!F417</f>
        <v>6498.02</v>
      </c>
      <c r="G417" s="3">
        <f>Raw_Data!G417</f>
        <v>81757</v>
      </c>
      <c r="H417" s="3">
        <f>Raw_Data!H417</f>
        <v>1390</v>
      </c>
      <c r="I417" s="3">
        <f>Raw_Data!I417</f>
        <v>160</v>
      </c>
      <c r="J417" s="5">
        <f>Raw_Data!J417</f>
        <v>7144.93</v>
      </c>
      <c r="K417" s="6">
        <f t="shared" si="42"/>
        <v>0.0170016023092824</v>
      </c>
      <c r="L417" s="5">
        <f t="shared" si="43"/>
        <v>4.6748345323741</v>
      </c>
      <c r="M417" s="5">
        <f t="shared" si="44"/>
        <v>40.612625</v>
      </c>
      <c r="N417" s="7">
        <f t="shared" si="45"/>
        <v>1.09955494135137</v>
      </c>
      <c r="O417" s="5">
        <f t="shared" si="46"/>
        <v>646.91</v>
      </c>
      <c r="P417" s="8">
        <f t="shared" si="47"/>
        <v>9.0541124965535</v>
      </c>
      <c r="Q417" s="3" t="str">
        <f t="shared" si="48"/>
        <v>2025-05</v>
      </c>
    </row>
    <row r="418" customHeight="1" spans="1:17">
      <c r="A418" s="3" t="str">
        <f>Raw_Data!A418</f>
        <v>C0301</v>
      </c>
      <c r="B418" s="4">
        <f>Raw_Data!B418</f>
        <v>45789</v>
      </c>
      <c r="C418" s="3" t="str">
        <f>Raw_Data!C418</f>
        <v>LinkedIn</v>
      </c>
      <c r="D418" s="3" t="str">
        <f>Raw_Data!D418</f>
        <v>North</v>
      </c>
      <c r="E418" s="5">
        <f>Raw_Data!E418</f>
        <v>4455.2</v>
      </c>
      <c r="F418" s="5">
        <f>Raw_Data!F418</f>
        <v>3599.62</v>
      </c>
      <c r="G418" s="3">
        <f>Raw_Data!G418</f>
        <v>191906</v>
      </c>
      <c r="H418" s="3">
        <f>Raw_Data!H418</f>
        <v>3380</v>
      </c>
      <c r="I418" s="3">
        <f>Raw_Data!I418</f>
        <v>512</v>
      </c>
      <c r="J418" s="5">
        <f>Raw_Data!J418</f>
        <v>13026.85</v>
      </c>
      <c r="K418" s="6">
        <f t="shared" si="42"/>
        <v>0.0176127895949058</v>
      </c>
      <c r="L418" s="5">
        <f t="shared" si="43"/>
        <v>1.06497633136095</v>
      </c>
      <c r="M418" s="5">
        <f t="shared" si="44"/>
        <v>7.0305078125</v>
      </c>
      <c r="N418" s="7">
        <f t="shared" si="45"/>
        <v>3.61895144487474</v>
      </c>
      <c r="O418" s="5">
        <f t="shared" si="46"/>
        <v>9427.23</v>
      </c>
      <c r="P418" s="8">
        <f t="shared" si="47"/>
        <v>72.3676867393115</v>
      </c>
      <c r="Q418" s="3" t="str">
        <f t="shared" si="48"/>
        <v>2025-05</v>
      </c>
    </row>
    <row r="419" customHeight="1" spans="1:17">
      <c r="A419" s="3" t="str">
        <f>Raw_Data!A419</f>
        <v>C0311</v>
      </c>
      <c r="B419" s="4">
        <f>Raw_Data!B419</f>
        <v>45790</v>
      </c>
      <c r="C419" s="3" t="str">
        <f>Raw_Data!C419</f>
        <v>Twitter</v>
      </c>
      <c r="D419" s="3" t="str">
        <f>Raw_Data!D419</f>
        <v>North</v>
      </c>
      <c r="E419" s="5">
        <f>Raw_Data!E419</f>
        <v>3975.49</v>
      </c>
      <c r="F419" s="5">
        <f>Raw_Data!F419</f>
        <v>4176.17</v>
      </c>
      <c r="G419" s="3">
        <f>Raw_Data!G419</f>
        <v>125145</v>
      </c>
      <c r="H419" s="3">
        <f>Raw_Data!H419</f>
        <v>1135</v>
      </c>
      <c r="I419" s="3">
        <f>Raw_Data!I419</f>
        <v>91</v>
      </c>
      <c r="J419" s="5">
        <f>Raw_Data!J419</f>
        <v>4507.42</v>
      </c>
      <c r="K419" s="6">
        <f t="shared" si="42"/>
        <v>0.00906947940389149</v>
      </c>
      <c r="L419" s="5">
        <f t="shared" si="43"/>
        <v>3.6794449339207</v>
      </c>
      <c r="M419" s="5">
        <f t="shared" si="44"/>
        <v>45.891978021978</v>
      </c>
      <c r="N419" s="7">
        <f t="shared" si="45"/>
        <v>1.07931908902176</v>
      </c>
      <c r="O419" s="5">
        <f t="shared" si="46"/>
        <v>331.25</v>
      </c>
      <c r="P419" s="8">
        <f t="shared" si="47"/>
        <v>7.34899343748752</v>
      </c>
      <c r="Q419" s="3" t="str">
        <f t="shared" si="48"/>
        <v>2025-05</v>
      </c>
    </row>
    <row r="420" customHeight="1" spans="1:17">
      <c r="A420" s="3" t="str">
        <f>Raw_Data!A420</f>
        <v>C0176</v>
      </c>
      <c r="B420" s="4">
        <f>Raw_Data!B420</f>
        <v>45790</v>
      </c>
      <c r="C420" s="3" t="str">
        <f>Raw_Data!C420</f>
        <v>Facebook</v>
      </c>
      <c r="D420" s="3" t="str">
        <f>Raw_Data!D420</f>
        <v>East</v>
      </c>
      <c r="E420" s="5">
        <f>Raw_Data!E420</f>
        <v>6280.85</v>
      </c>
      <c r="F420" s="5">
        <f>Raw_Data!F420</f>
        <v>5806.31</v>
      </c>
      <c r="G420" s="3">
        <f>Raw_Data!G420</f>
        <v>69711</v>
      </c>
      <c r="H420" s="3">
        <f>Raw_Data!H420</f>
        <v>1173</v>
      </c>
      <c r="I420" s="3">
        <f>Raw_Data!I420</f>
        <v>209</v>
      </c>
      <c r="J420" s="5">
        <f>Raw_Data!J420</f>
        <v>5894.26</v>
      </c>
      <c r="K420" s="6">
        <f t="shared" si="42"/>
        <v>0.0168266127296983</v>
      </c>
      <c r="L420" s="5">
        <f t="shared" si="43"/>
        <v>4.94996589940324</v>
      </c>
      <c r="M420" s="5">
        <f t="shared" si="44"/>
        <v>27.7813875598086</v>
      </c>
      <c r="N420" s="7">
        <f t="shared" si="45"/>
        <v>1.0151473138706</v>
      </c>
      <c r="O420" s="5">
        <f t="shared" si="46"/>
        <v>87.9499999999998</v>
      </c>
      <c r="P420" s="8">
        <f t="shared" si="47"/>
        <v>1.49212963120052</v>
      </c>
      <c r="Q420" s="3" t="str">
        <f t="shared" si="48"/>
        <v>2025-05</v>
      </c>
    </row>
    <row r="421" customHeight="1" spans="1:17">
      <c r="A421" s="3" t="str">
        <f>Raw_Data!A421</f>
        <v>C0222</v>
      </c>
      <c r="B421" s="4">
        <f>Raw_Data!B421</f>
        <v>45790</v>
      </c>
      <c r="C421" s="3" t="str">
        <f>Raw_Data!C421</f>
        <v>Instagram</v>
      </c>
      <c r="D421" s="3" t="str">
        <f>Raw_Data!D421</f>
        <v>South</v>
      </c>
      <c r="E421" s="5">
        <f>Raw_Data!E421</f>
        <v>4660.59</v>
      </c>
      <c r="F421" s="5">
        <f>Raw_Data!F421</f>
        <v>3870.78</v>
      </c>
      <c r="G421" s="3">
        <f>Raw_Data!G421</f>
        <v>197176</v>
      </c>
      <c r="H421" s="3">
        <f>Raw_Data!H421</f>
        <v>7746</v>
      </c>
      <c r="I421" s="3">
        <f>Raw_Data!I421</f>
        <v>512</v>
      </c>
      <c r="J421" s="5">
        <f>Raw_Data!J421</f>
        <v>12587.92</v>
      </c>
      <c r="K421" s="6">
        <f t="shared" si="42"/>
        <v>0.0392846999634844</v>
      </c>
      <c r="L421" s="5">
        <f t="shared" si="43"/>
        <v>0.499713400464756</v>
      </c>
      <c r="M421" s="5">
        <f t="shared" si="44"/>
        <v>7.5601171875</v>
      </c>
      <c r="N421" s="7">
        <f t="shared" si="45"/>
        <v>3.2520370571306</v>
      </c>
      <c r="O421" s="5">
        <f t="shared" si="46"/>
        <v>8717.14</v>
      </c>
      <c r="P421" s="8">
        <f t="shared" si="47"/>
        <v>69.2500428982707</v>
      </c>
      <c r="Q421" s="3" t="str">
        <f t="shared" si="48"/>
        <v>2025-05</v>
      </c>
    </row>
    <row r="422" customHeight="1" spans="1:17">
      <c r="A422" s="3" t="str">
        <f>Raw_Data!A422</f>
        <v>C0293</v>
      </c>
      <c r="B422" s="4">
        <f>Raw_Data!B422</f>
        <v>45791</v>
      </c>
      <c r="C422" s="3" t="str">
        <f>Raw_Data!C422</f>
        <v>Facebook</v>
      </c>
      <c r="D422" s="3" t="str">
        <f>Raw_Data!D422</f>
        <v>South</v>
      </c>
      <c r="E422" s="5">
        <f>Raw_Data!E422</f>
        <v>8011.81</v>
      </c>
      <c r="F422" s="5">
        <f>Raw_Data!F422</f>
        <v>7993.2</v>
      </c>
      <c r="G422" s="3">
        <f>Raw_Data!G422</f>
        <v>161797</v>
      </c>
      <c r="H422" s="3">
        <f>Raw_Data!H422</f>
        <v>6944</v>
      </c>
      <c r="I422" s="3">
        <f>Raw_Data!I422</f>
        <v>396</v>
      </c>
      <c r="J422" s="5">
        <f>Raw_Data!J422</f>
        <v>8241.9</v>
      </c>
      <c r="K422" s="6">
        <f t="shared" si="42"/>
        <v>0.0429179774655896</v>
      </c>
      <c r="L422" s="5">
        <f t="shared" si="43"/>
        <v>1.15109447004608</v>
      </c>
      <c r="M422" s="5">
        <f t="shared" si="44"/>
        <v>20.1848484848485</v>
      </c>
      <c r="N422" s="7">
        <f t="shared" si="45"/>
        <v>1.03111394685483</v>
      </c>
      <c r="O422" s="5">
        <f t="shared" si="46"/>
        <v>248.7</v>
      </c>
      <c r="P422" s="8">
        <f t="shared" si="47"/>
        <v>3.0175080988607</v>
      </c>
      <c r="Q422" s="3" t="str">
        <f t="shared" si="48"/>
        <v>2025-05</v>
      </c>
    </row>
    <row r="423" customHeight="1" spans="1:17">
      <c r="A423" s="3" t="str">
        <f>Raw_Data!A423</f>
        <v>C0018</v>
      </c>
      <c r="B423" s="4">
        <f>Raw_Data!B423</f>
        <v>45791</v>
      </c>
      <c r="C423" s="3" t="str">
        <f>Raw_Data!C423</f>
        <v>Instagram</v>
      </c>
      <c r="D423" s="3" t="str">
        <f>Raw_Data!D423</f>
        <v>West</v>
      </c>
      <c r="E423" s="5">
        <f>Raw_Data!E423</f>
        <v>8425.93</v>
      </c>
      <c r="F423" s="5">
        <f>Raw_Data!F423</f>
        <v>9115.59</v>
      </c>
      <c r="G423" s="3">
        <f>Raw_Data!G423</f>
        <v>177209</v>
      </c>
      <c r="H423" s="3">
        <f>Raw_Data!H423</f>
        <v>2628</v>
      </c>
      <c r="I423" s="3">
        <f>Raw_Data!I423</f>
        <v>342</v>
      </c>
      <c r="J423" s="5">
        <f>Raw_Data!J423</f>
        <v>16020.93</v>
      </c>
      <c r="K423" s="6">
        <f t="shared" si="42"/>
        <v>0.0148299465602763</v>
      </c>
      <c r="L423" s="5">
        <f t="shared" si="43"/>
        <v>3.46864155251142</v>
      </c>
      <c r="M423" s="5">
        <f t="shared" si="44"/>
        <v>26.6537719298246</v>
      </c>
      <c r="N423" s="7">
        <f t="shared" si="45"/>
        <v>1.75753077968623</v>
      </c>
      <c r="O423" s="5">
        <f t="shared" si="46"/>
        <v>6905.34</v>
      </c>
      <c r="P423" s="8">
        <f t="shared" si="47"/>
        <v>43.1019922064449</v>
      </c>
      <c r="Q423" s="3" t="str">
        <f t="shared" si="48"/>
        <v>2025-05</v>
      </c>
    </row>
    <row r="424" customHeight="1" spans="1:17">
      <c r="A424" s="3" t="str">
        <f>Raw_Data!A424</f>
        <v>C0099</v>
      </c>
      <c r="B424" s="4">
        <f>Raw_Data!B424</f>
        <v>45791</v>
      </c>
      <c r="C424" s="3" t="str">
        <f>Raw_Data!C424</f>
        <v>LinkedIn</v>
      </c>
      <c r="D424" s="3" t="str">
        <f>Raw_Data!D424</f>
        <v>West</v>
      </c>
      <c r="E424" s="5">
        <f>Raw_Data!E424</f>
        <v>3889.42</v>
      </c>
      <c r="F424" s="5">
        <f>Raw_Data!F424</f>
        <v>3720.9</v>
      </c>
      <c r="G424" s="3">
        <f>Raw_Data!G424</f>
        <v>129730</v>
      </c>
      <c r="H424" s="3">
        <f>Raw_Data!H424</f>
        <v>3017</v>
      </c>
      <c r="I424" s="3">
        <f>Raw_Data!I424</f>
        <v>425</v>
      </c>
      <c r="J424" s="5">
        <f>Raw_Data!J424</f>
        <v>18317.42</v>
      </c>
      <c r="K424" s="6">
        <f t="shared" si="42"/>
        <v>0.0232559932166808</v>
      </c>
      <c r="L424" s="5">
        <f t="shared" si="43"/>
        <v>1.23331123632748</v>
      </c>
      <c r="M424" s="5">
        <f t="shared" si="44"/>
        <v>8.75505882352941</v>
      </c>
      <c r="N424" s="7">
        <f t="shared" si="45"/>
        <v>4.92284662312881</v>
      </c>
      <c r="O424" s="5">
        <f t="shared" si="46"/>
        <v>14596.52</v>
      </c>
      <c r="P424" s="8">
        <f t="shared" si="47"/>
        <v>79.6865497433591</v>
      </c>
      <c r="Q424" s="3" t="str">
        <f t="shared" si="48"/>
        <v>2025-05</v>
      </c>
    </row>
    <row r="425" customHeight="1" spans="1:17">
      <c r="A425" s="3" t="str">
        <f>Raw_Data!A425</f>
        <v>C0005</v>
      </c>
      <c r="B425" s="4">
        <f>Raw_Data!B425</f>
        <v>45791</v>
      </c>
      <c r="C425" s="3" t="str">
        <f>Raw_Data!C425</f>
        <v>LinkedIn</v>
      </c>
      <c r="D425" s="3" t="str">
        <f>Raw_Data!D425</f>
        <v>East</v>
      </c>
      <c r="E425" s="5">
        <f>Raw_Data!E425</f>
        <v>8827.1</v>
      </c>
      <c r="F425" s="5">
        <f>Raw_Data!F425</f>
        <v>7623.98</v>
      </c>
      <c r="G425" s="3">
        <f>Raw_Data!G425</f>
        <v>191026</v>
      </c>
      <c r="H425" s="3">
        <f>Raw_Data!H425</f>
        <v>8786</v>
      </c>
      <c r="I425" s="3">
        <f>Raw_Data!I425</f>
        <v>423</v>
      </c>
      <c r="J425" s="5">
        <f>Raw_Data!J425</f>
        <v>10767.36</v>
      </c>
      <c r="K425" s="6">
        <f t="shared" si="42"/>
        <v>0.0459937390721682</v>
      </c>
      <c r="L425" s="5">
        <f t="shared" si="43"/>
        <v>0.867741862053267</v>
      </c>
      <c r="M425" s="5">
        <f t="shared" si="44"/>
        <v>18.0235933806147</v>
      </c>
      <c r="N425" s="7">
        <f t="shared" si="45"/>
        <v>1.41230171117973</v>
      </c>
      <c r="O425" s="5">
        <f t="shared" si="46"/>
        <v>3143.38</v>
      </c>
      <c r="P425" s="8">
        <f t="shared" si="47"/>
        <v>29.1935999167856</v>
      </c>
      <c r="Q425" s="3" t="str">
        <f t="shared" si="48"/>
        <v>2025-05</v>
      </c>
    </row>
    <row r="426" customHeight="1" spans="1:17">
      <c r="A426" s="3" t="str">
        <f>Raw_Data!A426</f>
        <v>C0230</v>
      </c>
      <c r="B426" s="4">
        <f>Raw_Data!B426</f>
        <v>45792</v>
      </c>
      <c r="C426" s="3" t="str">
        <f>Raw_Data!C426</f>
        <v>Twitter</v>
      </c>
      <c r="D426" s="3" t="str">
        <f>Raw_Data!D426</f>
        <v>South</v>
      </c>
      <c r="E426" s="5">
        <f>Raw_Data!E426</f>
        <v>4959.85</v>
      </c>
      <c r="F426" s="5">
        <f>Raw_Data!F426</f>
        <v>5112.85</v>
      </c>
      <c r="G426" s="3">
        <f>Raw_Data!G426</f>
        <v>149385</v>
      </c>
      <c r="H426" s="3">
        <f>Raw_Data!H426</f>
        <v>1524</v>
      </c>
      <c r="I426" s="3">
        <f>Raw_Data!I426</f>
        <v>60</v>
      </c>
      <c r="J426" s="5">
        <f>Raw_Data!J426</f>
        <v>1536.68</v>
      </c>
      <c r="K426" s="6">
        <f t="shared" si="42"/>
        <v>0.0102018274927202</v>
      </c>
      <c r="L426" s="5">
        <f t="shared" si="43"/>
        <v>3.35488845144357</v>
      </c>
      <c r="M426" s="5">
        <f t="shared" si="44"/>
        <v>85.2141666666667</v>
      </c>
      <c r="N426" s="7">
        <f t="shared" si="45"/>
        <v>0.300552529411189</v>
      </c>
      <c r="O426" s="5">
        <f t="shared" si="46"/>
        <v>-3576.17</v>
      </c>
      <c r="P426" s="8">
        <f t="shared" si="47"/>
        <v>-232.720540385767</v>
      </c>
      <c r="Q426" s="3" t="str">
        <f t="shared" si="48"/>
        <v>2025-05</v>
      </c>
    </row>
    <row r="427" customHeight="1" spans="1:17">
      <c r="A427" s="3" t="str">
        <f>Raw_Data!A427</f>
        <v>C0150</v>
      </c>
      <c r="B427" s="4">
        <f>Raw_Data!B427</f>
        <v>45793</v>
      </c>
      <c r="C427" s="3" t="str">
        <f>Raw_Data!C427</f>
        <v>LinkedIn</v>
      </c>
      <c r="D427" s="3" t="str">
        <f>Raw_Data!D427</f>
        <v>West</v>
      </c>
      <c r="E427" s="5">
        <f>Raw_Data!E427</f>
        <v>8273.65</v>
      </c>
      <c r="F427" s="5">
        <f>Raw_Data!F427</f>
        <v>7552.83</v>
      </c>
      <c r="G427" s="3">
        <f>Raw_Data!G427</f>
        <v>154555</v>
      </c>
      <c r="H427" s="3">
        <f>Raw_Data!H427</f>
        <v>7368</v>
      </c>
      <c r="I427" s="3">
        <f>Raw_Data!I427</f>
        <v>692</v>
      </c>
      <c r="J427" s="5">
        <f>Raw_Data!J427</f>
        <v>15573.47</v>
      </c>
      <c r="K427" s="6">
        <f t="shared" si="42"/>
        <v>0.0476723496489923</v>
      </c>
      <c r="L427" s="5">
        <f t="shared" si="43"/>
        <v>1.02508550488599</v>
      </c>
      <c r="M427" s="5">
        <f t="shared" si="44"/>
        <v>10.9144942196532</v>
      </c>
      <c r="N427" s="7">
        <f t="shared" si="45"/>
        <v>2.06193837276888</v>
      </c>
      <c r="O427" s="5">
        <f t="shared" si="46"/>
        <v>8020.64</v>
      </c>
      <c r="P427" s="8">
        <f t="shared" si="47"/>
        <v>51.5019452954287</v>
      </c>
      <c r="Q427" s="3" t="str">
        <f t="shared" si="48"/>
        <v>2025-05</v>
      </c>
    </row>
    <row r="428" customHeight="1" spans="1:17">
      <c r="A428" s="3" t="str">
        <f>Raw_Data!A428</f>
        <v>C0336</v>
      </c>
      <c r="B428" s="4">
        <f>Raw_Data!B428</f>
        <v>45793</v>
      </c>
      <c r="C428" s="3" t="str">
        <f>Raw_Data!C428</f>
        <v>Google Ads</v>
      </c>
      <c r="D428" s="3" t="str">
        <f>Raw_Data!D428</f>
        <v>North</v>
      </c>
      <c r="E428" s="5">
        <f>Raw_Data!E428</f>
        <v>7611.48</v>
      </c>
      <c r="F428" s="5">
        <f>Raw_Data!F428</f>
        <v>7669.96</v>
      </c>
      <c r="G428" s="3">
        <f>Raw_Data!G428</f>
        <v>116079</v>
      </c>
      <c r="H428" s="3">
        <f>Raw_Data!H428</f>
        <v>3243</v>
      </c>
      <c r="I428" s="3">
        <f>Raw_Data!I428</f>
        <v>205</v>
      </c>
      <c r="J428" s="5">
        <f>Raw_Data!J428</f>
        <v>9322.55</v>
      </c>
      <c r="K428" s="6">
        <f t="shared" si="42"/>
        <v>0.0279378698989481</v>
      </c>
      <c r="L428" s="5">
        <f t="shared" si="43"/>
        <v>2.36508171446192</v>
      </c>
      <c r="M428" s="5">
        <f t="shared" si="44"/>
        <v>37.4144390243902</v>
      </c>
      <c r="N428" s="7">
        <f t="shared" si="45"/>
        <v>1.21546266212601</v>
      </c>
      <c r="O428" s="5">
        <f t="shared" si="46"/>
        <v>1652.59</v>
      </c>
      <c r="P428" s="8">
        <f t="shared" si="47"/>
        <v>17.7268022161318</v>
      </c>
      <c r="Q428" s="3" t="str">
        <f t="shared" si="48"/>
        <v>2025-05</v>
      </c>
    </row>
    <row r="429" customHeight="1" spans="1:17">
      <c r="A429" s="3" t="str">
        <f>Raw_Data!A429</f>
        <v>C0362</v>
      </c>
      <c r="B429" s="4">
        <f>Raw_Data!B429</f>
        <v>45793</v>
      </c>
      <c r="C429" s="3" t="str">
        <f>Raw_Data!C429</f>
        <v>Twitter</v>
      </c>
      <c r="D429" s="3" t="str">
        <f>Raw_Data!D429</f>
        <v>West</v>
      </c>
      <c r="E429" s="5">
        <f>Raw_Data!E429</f>
        <v>9153.83</v>
      </c>
      <c r="F429" s="5">
        <f>Raw_Data!F429</f>
        <v>9917.44</v>
      </c>
      <c r="G429" s="3">
        <f>Raw_Data!G429</f>
        <v>86387</v>
      </c>
      <c r="H429" s="3">
        <f>Raw_Data!H429</f>
        <v>2059</v>
      </c>
      <c r="I429" s="3">
        <f>Raw_Data!I429</f>
        <v>67</v>
      </c>
      <c r="J429" s="5">
        <f>Raw_Data!J429</f>
        <v>2279.48</v>
      </c>
      <c r="K429" s="6">
        <f t="shared" si="42"/>
        <v>0.0238346047437693</v>
      </c>
      <c r="L429" s="5">
        <f t="shared" si="43"/>
        <v>4.81662943176299</v>
      </c>
      <c r="M429" s="5">
        <f t="shared" si="44"/>
        <v>148.021492537313</v>
      </c>
      <c r="N429" s="7">
        <f t="shared" si="45"/>
        <v>0.229845605317501</v>
      </c>
      <c r="O429" s="5">
        <f t="shared" si="46"/>
        <v>-7637.96</v>
      </c>
      <c r="P429" s="8">
        <f t="shared" si="47"/>
        <v>-335.074666151929</v>
      </c>
      <c r="Q429" s="3" t="str">
        <f t="shared" si="48"/>
        <v>2025-05</v>
      </c>
    </row>
    <row r="430" customHeight="1" spans="1:17">
      <c r="A430" s="3" t="str">
        <f>Raw_Data!A430</f>
        <v>C0415</v>
      </c>
      <c r="B430" s="4">
        <f>Raw_Data!B430</f>
        <v>45793</v>
      </c>
      <c r="C430" s="3" t="str">
        <f>Raw_Data!C430</f>
        <v>Instagram</v>
      </c>
      <c r="D430" s="3" t="str">
        <f>Raw_Data!D430</f>
        <v>South</v>
      </c>
      <c r="E430" s="5">
        <f>Raw_Data!E430</f>
        <v>8396.45</v>
      </c>
      <c r="F430" s="5">
        <f>Raw_Data!F430</f>
        <v>8845.11</v>
      </c>
      <c r="G430" s="3">
        <f>Raw_Data!G430</f>
        <v>176532</v>
      </c>
      <c r="H430" s="3">
        <f>Raw_Data!H430</f>
        <v>2317</v>
      </c>
      <c r="I430" s="3">
        <f>Raw_Data!I430</f>
        <v>156</v>
      </c>
      <c r="J430" s="5">
        <f>Raw_Data!J430</f>
        <v>6681.59</v>
      </c>
      <c r="K430" s="6">
        <f t="shared" si="42"/>
        <v>0.0131250991321687</v>
      </c>
      <c r="L430" s="5">
        <f t="shared" si="43"/>
        <v>3.81748381527838</v>
      </c>
      <c r="M430" s="5">
        <f t="shared" si="44"/>
        <v>56.6994230769231</v>
      </c>
      <c r="N430" s="7">
        <f t="shared" si="45"/>
        <v>0.755399311031745</v>
      </c>
      <c r="O430" s="5">
        <f t="shared" si="46"/>
        <v>-2163.52</v>
      </c>
      <c r="P430" s="8">
        <f t="shared" si="47"/>
        <v>-32.380316661154</v>
      </c>
      <c r="Q430" s="3" t="str">
        <f t="shared" si="48"/>
        <v>2025-05</v>
      </c>
    </row>
    <row r="431" customHeight="1" spans="1:17">
      <c r="A431" s="3" t="str">
        <f>Raw_Data!A431</f>
        <v>C0212</v>
      </c>
      <c r="B431" s="4">
        <f>Raw_Data!B431</f>
        <v>45793</v>
      </c>
      <c r="C431" s="3" t="str">
        <f>Raw_Data!C431</f>
        <v>Instagram</v>
      </c>
      <c r="D431" s="3" t="str">
        <f>Raw_Data!D431</f>
        <v>East</v>
      </c>
      <c r="E431" s="5">
        <f>Raw_Data!E431</f>
        <v>6724.79</v>
      </c>
      <c r="F431" s="5">
        <f>Raw_Data!F431</f>
        <v>5596.04</v>
      </c>
      <c r="G431" s="3">
        <f>Raw_Data!G431</f>
        <v>118663</v>
      </c>
      <c r="H431" s="3">
        <f>Raw_Data!H431</f>
        <v>2481</v>
      </c>
      <c r="I431" s="3">
        <f>Raw_Data!I431</f>
        <v>397</v>
      </c>
      <c r="J431" s="5">
        <f>Raw_Data!J431</f>
        <v>13268.68</v>
      </c>
      <c r="K431" s="6">
        <f t="shared" si="42"/>
        <v>0.020907949402931</v>
      </c>
      <c r="L431" s="5">
        <f t="shared" si="43"/>
        <v>2.2555582426441</v>
      </c>
      <c r="M431" s="5">
        <f t="shared" si="44"/>
        <v>14.0958186397985</v>
      </c>
      <c r="N431" s="7">
        <f t="shared" si="45"/>
        <v>2.37108383785677</v>
      </c>
      <c r="O431" s="5">
        <f t="shared" si="46"/>
        <v>7672.64</v>
      </c>
      <c r="P431" s="8">
        <f t="shared" si="47"/>
        <v>57.825194367488</v>
      </c>
      <c r="Q431" s="3" t="str">
        <f t="shared" si="48"/>
        <v>2025-05</v>
      </c>
    </row>
    <row r="432" customHeight="1" spans="1:17">
      <c r="A432" s="3" t="str">
        <f>Raw_Data!A432</f>
        <v>C0335</v>
      </c>
      <c r="B432" s="4">
        <f>Raw_Data!B432</f>
        <v>45794</v>
      </c>
      <c r="C432" s="3" t="str">
        <f>Raw_Data!C432</f>
        <v>Facebook</v>
      </c>
      <c r="D432" s="3" t="str">
        <f>Raw_Data!D432</f>
        <v>South</v>
      </c>
      <c r="E432" s="5">
        <f>Raw_Data!E432</f>
        <v>9110.62</v>
      </c>
      <c r="F432" s="5">
        <f>Raw_Data!F432</f>
        <v>9289.8</v>
      </c>
      <c r="G432" s="3">
        <f>Raw_Data!G432</f>
        <v>166037</v>
      </c>
      <c r="H432" s="3">
        <f>Raw_Data!H432</f>
        <v>1929</v>
      </c>
      <c r="I432" s="3">
        <f>Raw_Data!I432</f>
        <v>275</v>
      </c>
      <c r="J432" s="5">
        <f>Raw_Data!J432</f>
        <v>12154.13</v>
      </c>
      <c r="K432" s="6">
        <f t="shared" si="42"/>
        <v>0.0116178923974777</v>
      </c>
      <c r="L432" s="5">
        <f t="shared" si="43"/>
        <v>4.81586314152411</v>
      </c>
      <c r="M432" s="5">
        <f t="shared" si="44"/>
        <v>33.7810909090909</v>
      </c>
      <c r="N432" s="7">
        <f t="shared" si="45"/>
        <v>1.30833064220974</v>
      </c>
      <c r="O432" s="5">
        <f t="shared" si="46"/>
        <v>2864.33</v>
      </c>
      <c r="P432" s="8">
        <f t="shared" si="47"/>
        <v>23.566721764536</v>
      </c>
      <c r="Q432" s="3" t="str">
        <f t="shared" si="48"/>
        <v>2025-05</v>
      </c>
    </row>
    <row r="433" customHeight="1" spans="1:17">
      <c r="A433" s="3" t="str">
        <f>Raw_Data!A433</f>
        <v>C0423</v>
      </c>
      <c r="B433" s="4">
        <f>Raw_Data!B433</f>
        <v>45795</v>
      </c>
      <c r="C433" s="3" t="str">
        <f>Raw_Data!C433</f>
        <v>Instagram</v>
      </c>
      <c r="D433" s="3" t="str">
        <f>Raw_Data!D433</f>
        <v>East</v>
      </c>
      <c r="E433" s="5">
        <f>Raw_Data!E433</f>
        <v>5747.45</v>
      </c>
      <c r="F433" s="5">
        <f>Raw_Data!F433</f>
        <v>5425.49</v>
      </c>
      <c r="G433" s="3">
        <f>Raw_Data!G433</f>
        <v>69001</v>
      </c>
      <c r="H433" s="3">
        <f>Raw_Data!H433</f>
        <v>2029</v>
      </c>
      <c r="I433" s="3">
        <f>Raw_Data!I433</f>
        <v>320</v>
      </c>
      <c r="J433" s="5">
        <f>Raw_Data!J433</f>
        <v>12160.2</v>
      </c>
      <c r="K433" s="6">
        <f t="shared" si="42"/>
        <v>0.0294053709366531</v>
      </c>
      <c r="L433" s="5">
        <f t="shared" si="43"/>
        <v>2.67397240019714</v>
      </c>
      <c r="M433" s="5">
        <f t="shared" si="44"/>
        <v>16.95465625</v>
      </c>
      <c r="N433" s="7">
        <f t="shared" si="45"/>
        <v>2.24130907991721</v>
      </c>
      <c r="O433" s="5">
        <f t="shared" si="46"/>
        <v>6734.71</v>
      </c>
      <c r="P433" s="8">
        <f t="shared" si="47"/>
        <v>55.3832173812931</v>
      </c>
      <c r="Q433" s="3" t="str">
        <f t="shared" si="48"/>
        <v>2025-05</v>
      </c>
    </row>
    <row r="434" customHeight="1" spans="1:17">
      <c r="A434" s="3" t="str">
        <f>Raw_Data!A434</f>
        <v>C0208</v>
      </c>
      <c r="B434" s="4">
        <f>Raw_Data!B434</f>
        <v>45796</v>
      </c>
      <c r="C434" s="3" t="str">
        <f>Raw_Data!C434</f>
        <v>Instagram</v>
      </c>
      <c r="D434" s="3" t="str">
        <f>Raw_Data!D434</f>
        <v>South</v>
      </c>
      <c r="E434" s="5">
        <f>Raw_Data!E434</f>
        <v>4465.45</v>
      </c>
      <c r="F434" s="5">
        <f>Raw_Data!F434</f>
        <v>4068.66</v>
      </c>
      <c r="G434" s="3">
        <f>Raw_Data!G434</f>
        <v>188606</v>
      </c>
      <c r="H434" s="3">
        <f>Raw_Data!H434</f>
        <v>1714</v>
      </c>
      <c r="I434" s="3">
        <f>Raw_Data!I434</f>
        <v>194</v>
      </c>
      <c r="J434" s="5">
        <f>Raw_Data!J434</f>
        <v>6699.92</v>
      </c>
      <c r="K434" s="6">
        <f t="shared" si="42"/>
        <v>0.00908772785595368</v>
      </c>
      <c r="L434" s="5">
        <f t="shared" si="43"/>
        <v>2.37378063010502</v>
      </c>
      <c r="M434" s="5">
        <f t="shared" si="44"/>
        <v>20.9724742268041</v>
      </c>
      <c r="N434" s="7">
        <f t="shared" si="45"/>
        <v>1.64671415158799</v>
      </c>
      <c r="O434" s="5">
        <f t="shared" si="46"/>
        <v>2631.26</v>
      </c>
      <c r="P434" s="8">
        <f t="shared" si="47"/>
        <v>39.2730062448507</v>
      </c>
      <c r="Q434" s="3" t="str">
        <f t="shared" si="48"/>
        <v>2025-05</v>
      </c>
    </row>
    <row r="435" customHeight="1" spans="1:17">
      <c r="A435" s="3" t="str">
        <f>Raw_Data!A435</f>
        <v>C0233</v>
      </c>
      <c r="B435" s="4">
        <f>Raw_Data!B435</f>
        <v>45796</v>
      </c>
      <c r="C435" s="3" t="str">
        <f>Raw_Data!C435</f>
        <v>LinkedIn</v>
      </c>
      <c r="D435" s="3" t="str">
        <f>Raw_Data!D435</f>
        <v>South</v>
      </c>
      <c r="E435" s="5">
        <f>Raw_Data!E435</f>
        <v>5020.41</v>
      </c>
      <c r="F435" s="5">
        <f>Raw_Data!F435</f>
        <v>4891.74</v>
      </c>
      <c r="G435" s="3">
        <f>Raw_Data!G435</f>
        <v>73811</v>
      </c>
      <c r="H435" s="3">
        <f>Raw_Data!H435</f>
        <v>3452</v>
      </c>
      <c r="I435" s="3">
        <f>Raw_Data!I435</f>
        <v>224</v>
      </c>
      <c r="J435" s="5">
        <f>Raw_Data!J435</f>
        <v>5517.32</v>
      </c>
      <c r="K435" s="6">
        <f t="shared" si="42"/>
        <v>0.0467680968961266</v>
      </c>
      <c r="L435" s="5">
        <f t="shared" si="43"/>
        <v>1.4170741599073</v>
      </c>
      <c r="M435" s="5">
        <f t="shared" si="44"/>
        <v>21.838125</v>
      </c>
      <c r="N435" s="7">
        <f t="shared" si="45"/>
        <v>1.12788496526798</v>
      </c>
      <c r="O435" s="5">
        <f t="shared" si="46"/>
        <v>625.58</v>
      </c>
      <c r="P435" s="8">
        <f t="shared" si="47"/>
        <v>11.338475926718</v>
      </c>
      <c r="Q435" s="3" t="str">
        <f t="shared" si="48"/>
        <v>2025-05</v>
      </c>
    </row>
    <row r="436" customHeight="1" spans="1:17">
      <c r="A436" s="3" t="str">
        <f>Raw_Data!A436</f>
        <v>C0413</v>
      </c>
      <c r="B436" s="4">
        <f>Raw_Data!B436</f>
        <v>45796</v>
      </c>
      <c r="C436" s="3" t="str">
        <f>Raw_Data!C436</f>
        <v>Twitter</v>
      </c>
      <c r="D436" s="3" t="str">
        <f>Raw_Data!D436</f>
        <v>South</v>
      </c>
      <c r="E436" s="5">
        <f>Raw_Data!E436</f>
        <v>9050.51</v>
      </c>
      <c r="F436" s="5">
        <f>Raw_Data!F436</f>
        <v>8525.25</v>
      </c>
      <c r="G436" s="3">
        <f>Raw_Data!G436</f>
        <v>113951</v>
      </c>
      <c r="H436" s="3">
        <f>Raw_Data!H436</f>
        <v>4911</v>
      </c>
      <c r="I436" s="3">
        <f>Raw_Data!I436</f>
        <v>623</v>
      </c>
      <c r="J436" s="5">
        <f>Raw_Data!J436</f>
        <v>30555.54</v>
      </c>
      <c r="K436" s="6">
        <f t="shared" si="42"/>
        <v>0.0430974717203008</v>
      </c>
      <c r="L436" s="5">
        <f t="shared" si="43"/>
        <v>1.73594990836897</v>
      </c>
      <c r="M436" s="5">
        <f t="shared" si="44"/>
        <v>13.6841894060995</v>
      </c>
      <c r="N436" s="7">
        <f t="shared" si="45"/>
        <v>3.58412245975191</v>
      </c>
      <c r="O436" s="5">
        <f t="shared" si="46"/>
        <v>22030.29</v>
      </c>
      <c r="P436" s="8">
        <f t="shared" si="47"/>
        <v>72.0991676141217</v>
      </c>
      <c r="Q436" s="3" t="str">
        <f t="shared" si="48"/>
        <v>2025-05</v>
      </c>
    </row>
    <row r="437" customHeight="1" spans="1:17">
      <c r="A437" s="3" t="str">
        <f>Raw_Data!A437</f>
        <v>C0282</v>
      </c>
      <c r="B437" s="4">
        <f>Raw_Data!B437</f>
        <v>45797</v>
      </c>
      <c r="C437" s="3" t="str">
        <f>Raw_Data!C437</f>
        <v>LinkedIn</v>
      </c>
      <c r="D437" s="3" t="str">
        <f>Raw_Data!D437</f>
        <v>East</v>
      </c>
      <c r="E437" s="5">
        <f>Raw_Data!E437</f>
        <v>9727.49</v>
      </c>
      <c r="F437" s="5">
        <f>Raw_Data!F437</f>
        <v>8215.83</v>
      </c>
      <c r="G437" s="3">
        <f>Raw_Data!G437</f>
        <v>124323</v>
      </c>
      <c r="H437" s="3">
        <f>Raw_Data!H437</f>
        <v>2448</v>
      </c>
      <c r="I437" s="3">
        <f>Raw_Data!I437</f>
        <v>214</v>
      </c>
      <c r="J437" s="5">
        <f>Raw_Data!J437</f>
        <v>6941.89</v>
      </c>
      <c r="K437" s="6">
        <f t="shared" si="42"/>
        <v>0.0196906445307787</v>
      </c>
      <c r="L437" s="5">
        <f t="shared" si="43"/>
        <v>3.35613970588235</v>
      </c>
      <c r="M437" s="5">
        <f t="shared" si="44"/>
        <v>38.3917289719626</v>
      </c>
      <c r="N437" s="7">
        <f t="shared" si="45"/>
        <v>0.844940803302892</v>
      </c>
      <c r="O437" s="5">
        <f t="shared" si="46"/>
        <v>-1273.94</v>
      </c>
      <c r="P437" s="8">
        <f t="shared" si="47"/>
        <v>-18.3514864107613</v>
      </c>
      <c r="Q437" s="3" t="str">
        <f t="shared" si="48"/>
        <v>2025-05</v>
      </c>
    </row>
    <row r="438" customHeight="1" spans="1:17">
      <c r="A438" s="3" t="str">
        <f>Raw_Data!A438</f>
        <v>C0120</v>
      </c>
      <c r="B438" s="4">
        <f>Raw_Data!B438</f>
        <v>45797</v>
      </c>
      <c r="C438" s="3" t="str">
        <f>Raw_Data!C438</f>
        <v>Instagram</v>
      </c>
      <c r="D438" s="3" t="str">
        <f>Raw_Data!D438</f>
        <v>East</v>
      </c>
      <c r="E438" s="5">
        <f>Raw_Data!E438</f>
        <v>7100.43</v>
      </c>
      <c r="F438" s="5">
        <f>Raw_Data!F438</f>
        <v>7683.16</v>
      </c>
      <c r="G438" s="3">
        <f>Raw_Data!G438</f>
        <v>124319</v>
      </c>
      <c r="H438" s="3">
        <f>Raw_Data!H438</f>
        <v>3473</v>
      </c>
      <c r="I438" s="3">
        <f>Raw_Data!I438</f>
        <v>495</v>
      </c>
      <c r="J438" s="5">
        <f>Raw_Data!J438</f>
        <v>18445.79</v>
      </c>
      <c r="K438" s="6">
        <f t="shared" si="42"/>
        <v>0.0279361963979762</v>
      </c>
      <c r="L438" s="5">
        <f t="shared" si="43"/>
        <v>2.21225453498416</v>
      </c>
      <c r="M438" s="5">
        <f t="shared" si="44"/>
        <v>15.5215353535354</v>
      </c>
      <c r="N438" s="7">
        <f t="shared" si="45"/>
        <v>2.40080774056508</v>
      </c>
      <c r="O438" s="5">
        <f t="shared" si="46"/>
        <v>10762.63</v>
      </c>
      <c r="P438" s="8">
        <f t="shared" si="47"/>
        <v>58.3473518889676</v>
      </c>
      <c r="Q438" s="3" t="str">
        <f t="shared" si="48"/>
        <v>2025-05</v>
      </c>
    </row>
    <row r="439" customHeight="1" spans="1:17">
      <c r="A439" s="3" t="str">
        <f>Raw_Data!A439</f>
        <v>C0265</v>
      </c>
      <c r="B439" s="4">
        <f>Raw_Data!B439</f>
        <v>45797</v>
      </c>
      <c r="C439" s="3" t="str">
        <f>Raw_Data!C439</f>
        <v>Facebook</v>
      </c>
      <c r="D439" s="3" t="str">
        <f>Raw_Data!D439</f>
        <v>West</v>
      </c>
      <c r="E439" s="5">
        <f>Raw_Data!E439</f>
        <v>6541.22</v>
      </c>
      <c r="F439" s="5">
        <f>Raw_Data!F439</f>
        <v>6432.87</v>
      </c>
      <c r="G439" s="3">
        <f>Raw_Data!G439</f>
        <v>127332</v>
      </c>
      <c r="H439" s="3">
        <f>Raw_Data!H439</f>
        <v>4365</v>
      </c>
      <c r="I439" s="3">
        <f>Raw_Data!I439</f>
        <v>646</v>
      </c>
      <c r="J439" s="5">
        <f>Raw_Data!J439</f>
        <v>13270.98</v>
      </c>
      <c r="K439" s="6">
        <f t="shared" si="42"/>
        <v>0.0342804636697766</v>
      </c>
      <c r="L439" s="5">
        <f t="shared" si="43"/>
        <v>1.47373883161512</v>
      </c>
      <c r="M439" s="5">
        <f t="shared" si="44"/>
        <v>9.95800309597523</v>
      </c>
      <c r="N439" s="7">
        <f t="shared" si="45"/>
        <v>2.06299521053589</v>
      </c>
      <c r="O439" s="5">
        <f t="shared" si="46"/>
        <v>6838.11</v>
      </c>
      <c r="P439" s="8">
        <f t="shared" si="47"/>
        <v>51.5267900335921</v>
      </c>
      <c r="Q439" s="3" t="str">
        <f t="shared" si="48"/>
        <v>2025-05</v>
      </c>
    </row>
    <row r="440" customHeight="1" spans="1:17">
      <c r="A440" s="3" t="str">
        <f>Raw_Data!A440</f>
        <v>C0347</v>
      </c>
      <c r="B440" s="4">
        <f>Raw_Data!B440</f>
        <v>45797</v>
      </c>
      <c r="C440" s="3" t="str">
        <f>Raw_Data!C440</f>
        <v>Facebook</v>
      </c>
      <c r="D440" s="3" t="str">
        <f>Raw_Data!D440</f>
        <v>North</v>
      </c>
      <c r="E440" s="5">
        <f>Raw_Data!E440</f>
        <v>3457.49</v>
      </c>
      <c r="F440" s="5">
        <f>Raw_Data!F440</f>
        <v>3093.03</v>
      </c>
      <c r="G440" s="3">
        <f>Raw_Data!G440</f>
        <v>57427</v>
      </c>
      <c r="H440" s="3">
        <f>Raw_Data!H440</f>
        <v>1092</v>
      </c>
      <c r="I440" s="3">
        <f>Raw_Data!I440</f>
        <v>199</v>
      </c>
      <c r="J440" s="5">
        <f>Raw_Data!J440</f>
        <v>7200.76</v>
      </c>
      <c r="K440" s="6">
        <f t="shared" si="42"/>
        <v>0.0190154456962753</v>
      </c>
      <c r="L440" s="5">
        <f t="shared" si="43"/>
        <v>2.83244505494505</v>
      </c>
      <c r="M440" s="5">
        <f t="shared" si="44"/>
        <v>15.542864321608</v>
      </c>
      <c r="N440" s="7">
        <f t="shared" si="45"/>
        <v>2.32806018693643</v>
      </c>
      <c r="O440" s="5">
        <f t="shared" si="46"/>
        <v>4107.73</v>
      </c>
      <c r="P440" s="8">
        <f t="shared" si="47"/>
        <v>57.0457840561274</v>
      </c>
      <c r="Q440" s="3" t="str">
        <f t="shared" si="48"/>
        <v>2025-05</v>
      </c>
    </row>
    <row r="441" customHeight="1" spans="1:17">
      <c r="A441" s="3" t="str">
        <f>Raw_Data!A441</f>
        <v>C0046</v>
      </c>
      <c r="B441" s="4">
        <f>Raw_Data!B441</f>
        <v>45797</v>
      </c>
      <c r="C441" s="3" t="str">
        <f>Raw_Data!C441</f>
        <v>Twitter</v>
      </c>
      <c r="D441" s="3" t="str">
        <f>Raw_Data!D441</f>
        <v>South</v>
      </c>
      <c r="E441" s="5">
        <f>Raw_Data!E441</f>
        <v>5262.42</v>
      </c>
      <c r="F441" s="5">
        <f>Raw_Data!F441</f>
        <v>5028.96</v>
      </c>
      <c r="G441" s="3">
        <f>Raw_Data!G441</f>
        <v>114793</v>
      </c>
      <c r="H441" s="3">
        <f>Raw_Data!H441</f>
        <v>4639</v>
      </c>
      <c r="I441" s="3">
        <f>Raw_Data!I441</f>
        <v>463</v>
      </c>
      <c r="J441" s="5">
        <f>Raw_Data!J441</f>
        <v>19024.93</v>
      </c>
      <c r="K441" s="6">
        <f t="shared" si="42"/>
        <v>0.0404118718040299</v>
      </c>
      <c r="L441" s="5">
        <f t="shared" si="43"/>
        <v>1.08406122009054</v>
      </c>
      <c r="M441" s="5">
        <f t="shared" si="44"/>
        <v>10.8616846652268</v>
      </c>
      <c r="N441" s="7">
        <f t="shared" si="45"/>
        <v>3.78307443288473</v>
      </c>
      <c r="O441" s="5">
        <f t="shared" si="46"/>
        <v>13995.97</v>
      </c>
      <c r="P441" s="8">
        <f t="shared" si="47"/>
        <v>73.5664730435276</v>
      </c>
      <c r="Q441" s="3" t="str">
        <f t="shared" si="48"/>
        <v>2025-05</v>
      </c>
    </row>
    <row r="442" customHeight="1" spans="1:17">
      <c r="A442" s="3" t="str">
        <f>Raw_Data!A442</f>
        <v>C0267</v>
      </c>
      <c r="B442" s="4">
        <f>Raw_Data!B442</f>
        <v>45798</v>
      </c>
      <c r="C442" s="3" t="str">
        <f>Raw_Data!C442</f>
        <v>Google Ads</v>
      </c>
      <c r="D442" s="3" t="str">
        <f>Raw_Data!D442</f>
        <v>North</v>
      </c>
      <c r="E442" s="5">
        <f>Raw_Data!E442</f>
        <v>7876.56</v>
      </c>
      <c r="F442" s="5">
        <f>Raw_Data!F442</f>
        <v>8481.08</v>
      </c>
      <c r="G442" s="3">
        <f>Raw_Data!G442</f>
        <v>148308</v>
      </c>
      <c r="H442" s="3">
        <f>Raw_Data!H442</f>
        <v>5069</v>
      </c>
      <c r="I442" s="3">
        <f>Raw_Data!I442</f>
        <v>397</v>
      </c>
      <c r="J442" s="5">
        <f>Raw_Data!J442</f>
        <v>16363.21</v>
      </c>
      <c r="K442" s="6">
        <f t="shared" si="42"/>
        <v>0.034178870998193</v>
      </c>
      <c r="L442" s="5">
        <f t="shared" si="43"/>
        <v>1.67312684947721</v>
      </c>
      <c r="M442" s="5">
        <f t="shared" si="44"/>
        <v>21.3629219143577</v>
      </c>
      <c r="N442" s="7">
        <f t="shared" si="45"/>
        <v>1.92937809807242</v>
      </c>
      <c r="O442" s="5">
        <f t="shared" si="46"/>
        <v>7882.13</v>
      </c>
      <c r="P442" s="8">
        <f t="shared" si="47"/>
        <v>48.1698273138339</v>
      </c>
      <c r="Q442" s="3" t="str">
        <f t="shared" si="48"/>
        <v>2025-05</v>
      </c>
    </row>
    <row r="443" customHeight="1" spans="1:17">
      <c r="A443" s="3" t="str">
        <f>Raw_Data!A443</f>
        <v>C0329</v>
      </c>
      <c r="B443" s="4">
        <f>Raw_Data!B443</f>
        <v>45798</v>
      </c>
      <c r="C443" s="3" t="str">
        <f>Raw_Data!C443</f>
        <v>LinkedIn</v>
      </c>
      <c r="D443" s="3" t="str">
        <f>Raw_Data!D443</f>
        <v>North</v>
      </c>
      <c r="E443" s="5">
        <f>Raw_Data!E443</f>
        <v>8097.32</v>
      </c>
      <c r="F443" s="5">
        <f>Raw_Data!F443</f>
        <v>7681.5</v>
      </c>
      <c r="G443" s="3">
        <f>Raw_Data!G443</f>
        <v>76558</v>
      </c>
      <c r="H443" s="3">
        <f>Raw_Data!H443</f>
        <v>2247</v>
      </c>
      <c r="I443" s="3">
        <f>Raw_Data!I443</f>
        <v>275</v>
      </c>
      <c r="J443" s="5">
        <f>Raw_Data!J443</f>
        <v>11179.32</v>
      </c>
      <c r="K443" s="6">
        <f t="shared" si="42"/>
        <v>0.0293502965072233</v>
      </c>
      <c r="L443" s="5">
        <f t="shared" si="43"/>
        <v>3.41855807743658</v>
      </c>
      <c r="M443" s="5">
        <f t="shared" si="44"/>
        <v>27.9327272727273</v>
      </c>
      <c r="N443" s="7">
        <f t="shared" si="45"/>
        <v>1.45535637570787</v>
      </c>
      <c r="O443" s="5">
        <f t="shared" si="46"/>
        <v>3497.82</v>
      </c>
      <c r="P443" s="8">
        <f t="shared" si="47"/>
        <v>31.2883073389079</v>
      </c>
      <c r="Q443" s="3" t="str">
        <f t="shared" si="48"/>
        <v>2025-05</v>
      </c>
    </row>
    <row r="444" customHeight="1" spans="1:17">
      <c r="A444" s="3" t="str">
        <f>Raw_Data!A444</f>
        <v>C0449</v>
      </c>
      <c r="B444" s="4">
        <f>Raw_Data!B444</f>
        <v>45798</v>
      </c>
      <c r="C444" s="3" t="str">
        <f>Raw_Data!C444</f>
        <v>Facebook</v>
      </c>
      <c r="D444" s="3" t="str">
        <f>Raw_Data!D444</f>
        <v>North</v>
      </c>
      <c r="E444" s="5">
        <f>Raw_Data!E444</f>
        <v>8198.95</v>
      </c>
      <c r="F444" s="5">
        <f>Raw_Data!F444</f>
        <v>7605.74</v>
      </c>
      <c r="G444" s="3">
        <f>Raw_Data!G444</f>
        <v>172776</v>
      </c>
      <c r="H444" s="3">
        <f>Raw_Data!H444</f>
        <v>7965</v>
      </c>
      <c r="I444" s="3">
        <f>Raw_Data!I444</f>
        <v>101</v>
      </c>
      <c r="J444" s="5">
        <f>Raw_Data!J444</f>
        <v>3068.18</v>
      </c>
      <c r="K444" s="6">
        <f t="shared" si="42"/>
        <v>0.0461001527989999</v>
      </c>
      <c r="L444" s="5">
        <f t="shared" si="43"/>
        <v>0.954895166352793</v>
      </c>
      <c r="M444" s="5">
        <f t="shared" si="44"/>
        <v>75.3043564356436</v>
      </c>
      <c r="N444" s="7">
        <f t="shared" si="45"/>
        <v>0.403403219147644</v>
      </c>
      <c r="O444" s="5">
        <f t="shared" si="46"/>
        <v>-4537.56</v>
      </c>
      <c r="P444" s="8">
        <f t="shared" si="47"/>
        <v>-147.890932083515</v>
      </c>
      <c r="Q444" s="3" t="str">
        <f t="shared" si="48"/>
        <v>2025-05</v>
      </c>
    </row>
    <row r="445" customHeight="1" spans="1:17">
      <c r="A445" s="3" t="str">
        <f>Raw_Data!A445</f>
        <v>C0428</v>
      </c>
      <c r="B445" s="4">
        <f>Raw_Data!B445</f>
        <v>45799</v>
      </c>
      <c r="C445" s="3" t="str">
        <f>Raw_Data!C445</f>
        <v>Instagram</v>
      </c>
      <c r="D445" s="3" t="str">
        <f>Raw_Data!D445</f>
        <v>East</v>
      </c>
      <c r="E445" s="5">
        <f>Raw_Data!E445</f>
        <v>7917.25</v>
      </c>
      <c r="F445" s="5">
        <f>Raw_Data!F445</f>
        <v>7663.06</v>
      </c>
      <c r="G445" s="3">
        <f>Raw_Data!G445</f>
        <v>94851</v>
      </c>
      <c r="H445" s="3">
        <f>Raw_Data!H445</f>
        <v>2639</v>
      </c>
      <c r="I445" s="3">
        <f>Raw_Data!I445</f>
        <v>396</v>
      </c>
      <c r="J445" s="5">
        <f>Raw_Data!J445</f>
        <v>8036.08</v>
      </c>
      <c r="K445" s="6">
        <f t="shared" si="42"/>
        <v>0.0278225848963111</v>
      </c>
      <c r="L445" s="5">
        <f t="shared" si="43"/>
        <v>2.90377415687761</v>
      </c>
      <c r="M445" s="5">
        <f t="shared" si="44"/>
        <v>19.3511616161616</v>
      </c>
      <c r="N445" s="7">
        <f t="shared" si="45"/>
        <v>1.04867768228358</v>
      </c>
      <c r="O445" s="5">
        <f t="shared" si="46"/>
        <v>373.02</v>
      </c>
      <c r="P445" s="8">
        <f t="shared" si="47"/>
        <v>4.64181541248967</v>
      </c>
      <c r="Q445" s="3" t="str">
        <f t="shared" si="48"/>
        <v>2025-05</v>
      </c>
    </row>
    <row r="446" customHeight="1" spans="1:17">
      <c r="A446" s="3" t="str">
        <f>Raw_Data!A446</f>
        <v>C0494</v>
      </c>
      <c r="B446" s="4">
        <f>Raw_Data!B446</f>
        <v>45799</v>
      </c>
      <c r="C446" s="3" t="str">
        <f>Raw_Data!C446</f>
        <v>Facebook</v>
      </c>
      <c r="D446" s="3" t="str">
        <f>Raw_Data!D446</f>
        <v>East</v>
      </c>
      <c r="E446" s="5">
        <f>Raw_Data!E446</f>
        <v>6049.08</v>
      </c>
      <c r="F446" s="5">
        <f>Raw_Data!F446</f>
        <v>6323.41</v>
      </c>
      <c r="G446" s="3">
        <f>Raw_Data!G446</f>
        <v>158601</v>
      </c>
      <c r="H446" s="3">
        <f>Raw_Data!H446</f>
        <v>7199</v>
      </c>
      <c r="I446" s="3">
        <f>Raw_Data!I446</f>
        <v>503</v>
      </c>
      <c r="J446" s="5">
        <f>Raw_Data!J446</f>
        <v>11873.95</v>
      </c>
      <c r="K446" s="6">
        <f t="shared" si="42"/>
        <v>0.0453906343591781</v>
      </c>
      <c r="L446" s="5">
        <f t="shared" si="43"/>
        <v>0.878373385192388</v>
      </c>
      <c r="M446" s="5">
        <f t="shared" si="44"/>
        <v>12.5713916500994</v>
      </c>
      <c r="N446" s="7">
        <f t="shared" si="45"/>
        <v>1.87777638963787</v>
      </c>
      <c r="O446" s="5">
        <f t="shared" si="46"/>
        <v>5550.54</v>
      </c>
      <c r="P446" s="8">
        <f t="shared" si="47"/>
        <v>46.7455227620126</v>
      </c>
      <c r="Q446" s="3" t="str">
        <f t="shared" si="48"/>
        <v>2025-05</v>
      </c>
    </row>
    <row r="447" customHeight="1" spans="1:17">
      <c r="A447" s="3" t="str">
        <f>Raw_Data!A447</f>
        <v>C0242</v>
      </c>
      <c r="B447" s="4">
        <f>Raw_Data!B447</f>
        <v>45799</v>
      </c>
      <c r="C447" s="3" t="str">
        <f>Raw_Data!C447</f>
        <v>Twitter</v>
      </c>
      <c r="D447" s="3" t="str">
        <f>Raw_Data!D447</f>
        <v>South</v>
      </c>
      <c r="E447" s="5">
        <f>Raw_Data!E447</f>
        <v>8187.84</v>
      </c>
      <c r="F447" s="5">
        <f>Raw_Data!F447</f>
        <v>7961.38</v>
      </c>
      <c r="G447" s="3">
        <f>Raw_Data!G447</f>
        <v>158182</v>
      </c>
      <c r="H447" s="3">
        <f>Raw_Data!H447</f>
        <v>3562</v>
      </c>
      <c r="I447" s="3">
        <f>Raw_Data!I447</f>
        <v>554</v>
      </c>
      <c r="J447" s="5">
        <f>Raw_Data!J447</f>
        <v>25071.19</v>
      </c>
      <c r="K447" s="6">
        <f t="shared" si="42"/>
        <v>0.0225183649214196</v>
      </c>
      <c r="L447" s="5">
        <f t="shared" si="43"/>
        <v>2.23508702975856</v>
      </c>
      <c r="M447" s="5">
        <f t="shared" si="44"/>
        <v>14.3707220216607</v>
      </c>
      <c r="N447" s="7">
        <f t="shared" si="45"/>
        <v>3.14910103524766</v>
      </c>
      <c r="O447" s="5">
        <f t="shared" si="46"/>
        <v>17109.81</v>
      </c>
      <c r="P447" s="8">
        <f t="shared" si="47"/>
        <v>68.2449058062262</v>
      </c>
      <c r="Q447" s="3" t="str">
        <f t="shared" si="48"/>
        <v>2025-05</v>
      </c>
    </row>
    <row r="448" customHeight="1" spans="1:17">
      <c r="A448" s="3" t="str">
        <f>Raw_Data!A448</f>
        <v>C0143</v>
      </c>
      <c r="B448" s="4">
        <f>Raw_Data!B448</f>
        <v>45800</v>
      </c>
      <c r="C448" s="3" t="str">
        <f>Raw_Data!C448</f>
        <v>Twitter</v>
      </c>
      <c r="D448" s="3" t="str">
        <f>Raw_Data!D448</f>
        <v>North</v>
      </c>
      <c r="E448" s="5">
        <f>Raw_Data!E448</f>
        <v>6090.71</v>
      </c>
      <c r="F448" s="5">
        <f>Raw_Data!F448</f>
        <v>6494.59</v>
      </c>
      <c r="G448" s="3">
        <f>Raw_Data!G448</f>
        <v>149870</v>
      </c>
      <c r="H448" s="3">
        <f>Raw_Data!H448</f>
        <v>2505</v>
      </c>
      <c r="I448" s="3">
        <f>Raw_Data!I448</f>
        <v>453</v>
      </c>
      <c r="J448" s="5">
        <f>Raw_Data!J448</f>
        <v>13828.94</v>
      </c>
      <c r="K448" s="6">
        <f t="shared" si="42"/>
        <v>0.0167144858877694</v>
      </c>
      <c r="L448" s="5">
        <f t="shared" si="43"/>
        <v>2.59265069860279</v>
      </c>
      <c r="M448" s="5">
        <f t="shared" si="44"/>
        <v>14.3368432671082</v>
      </c>
      <c r="N448" s="7">
        <f t="shared" si="45"/>
        <v>2.12930146475759</v>
      </c>
      <c r="O448" s="5">
        <f t="shared" si="46"/>
        <v>7334.35</v>
      </c>
      <c r="P448" s="8">
        <f t="shared" si="47"/>
        <v>53.036241389434</v>
      </c>
      <c r="Q448" s="3" t="str">
        <f t="shared" si="48"/>
        <v>2025-05</v>
      </c>
    </row>
    <row r="449" customHeight="1" spans="1:17">
      <c r="A449" s="3" t="str">
        <f>Raw_Data!A449</f>
        <v>C0408</v>
      </c>
      <c r="B449" s="4">
        <f>Raw_Data!B449</f>
        <v>45800</v>
      </c>
      <c r="C449" s="3" t="str">
        <f>Raw_Data!C449</f>
        <v>Facebook</v>
      </c>
      <c r="D449" s="3" t="str">
        <f>Raw_Data!D449</f>
        <v>South</v>
      </c>
      <c r="E449" s="5">
        <f>Raw_Data!E449</f>
        <v>4057.41</v>
      </c>
      <c r="F449" s="5">
        <f>Raw_Data!F449</f>
        <v>3772.18</v>
      </c>
      <c r="G449" s="3">
        <f>Raw_Data!G449</f>
        <v>65526</v>
      </c>
      <c r="H449" s="3">
        <f>Raw_Data!H449</f>
        <v>2744</v>
      </c>
      <c r="I449" s="3">
        <f>Raw_Data!I449</f>
        <v>447</v>
      </c>
      <c r="J449" s="5">
        <f>Raw_Data!J449</f>
        <v>21593.89</v>
      </c>
      <c r="K449" s="6">
        <f t="shared" si="42"/>
        <v>0.0418765070353753</v>
      </c>
      <c r="L449" s="5">
        <f t="shared" si="43"/>
        <v>1.37470116618076</v>
      </c>
      <c r="M449" s="5">
        <f t="shared" si="44"/>
        <v>8.43888143176734</v>
      </c>
      <c r="N449" s="7">
        <f t="shared" si="45"/>
        <v>5.72451208584956</v>
      </c>
      <c r="O449" s="5">
        <f t="shared" si="46"/>
        <v>17821.71</v>
      </c>
      <c r="P449" s="8">
        <f t="shared" si="47"/>
        <v>82.531262315405</v>
      </c>
      <c r="Q449" s="3" t="str">
        <f t="shared" si="48"/>
        <v>2025-05</v>
      </c>
    </row>
    <row r="450" customHeight="1" spans="1:17">
      <c r="A450" s="3" t="str">
        <f>Raw_Data!A450</f>
        <v>C0321</v>
      </c>
      <c r="B450" s="4">
        <f>Raw_Data!B450</f>
        <v>45800</v>
      </c>
      <c r="C450" s="3" t="str">
        <f>Raw_Data!C450</f>
        <v>Facebook</v>
      </c>
      <c r="D450" s="3" t="str">
        <f>Raw_Data!D450</f>
        <v>West</v>
      </c>
      <c r="E450" s="5">
        <f>Raw_Data!E450</f>
        <v>3579.59</v>
      </c>
      <c r="F450" s="5">
        <f>Raw_Data!F450</f>
        <v>3511.38</v>
      </c>
      <c r="G450" s="3">
        <f>Raw_Data!G450</f>
        <v>141976</v>
      </c>
      <c r="H450" s="3">
        <f>Raw_Data!H450</f>
        <v>6294</v>
      </c>
      <c r="I450" s="3">
        <f>Raw_Data!I450</f>
        <v>311</v>
      </c>
      <c r="J450" s="5">
        <f>Raw_Data!J450</f>
        <v>8509.11</v>
      </c>
      <c r="K450" s="6">
        <f t="shared" ref="K450:K501" si="49">IFERROR(H450/G450,0)</f>
        <v>0.0443314362990928</v>
      </c>
      <c r="L450" s="5">
        <f t="shared" ref="L450:L501" si="50">IFERROR(F450/H450,0)</f>
        <v>0.55789323164919</v>
      </c>
      <c r="M450" s="5">
        <f t="shared" ref="M450:M501" si="51">IFERROR(F450/I450,0)</f>
        <v>11.2906109324759</v>
      </c>
      <c r="N450" s="7">
        <f t="shared" ref="N450:N501" si="52">IFERROR(J450/F450,0)</f>
        <v>2.42329511474121</v>
      </c>
      <c r="O450" s="5">
        <f t="shared" ref="O450:O501" si="53">J450-F450</f>
        <v>4997.73</v>
      </c>
      <c r="P450" s="8">
        <f t="shared" ref="P450:P501" si="54">IFERROR(O450/J450*100,0)</f>
        <v>58.7338746355377</v>
      </c>
      <c r="Q450" s="3" t="str">
        <f t="shared" ref="Q450:Q501" si="55">TEXT(B450,"YYYY-MM")</f>
        <v>2025-05</v>
      </c>
    </row>
    <row r="451" customHeight="1" spans="1:17">
      <c r="A451" s="3" t="str">
        <f>Raw_Data!A451</f>
        <v>C0093</v>
      </c>
      <c r="B451" s="4">
        <f>Raw_Data!B451</f>
        <v>45801</v>
      </c>
      <c r="C451" s="3" t="str">
        <f>Raw_Data!C451</f>
        <v>LinkedIn</v>
      </c>
      <c r="D451" s="3" t="str">
        <f>Raw_Data!D451</f>
        <v>North</v>
      </c>
      <c r="E451" s="5">
        <f>Raw_Data!E451</f>
        <v>8588.07</v>
      </c>
      <c r="F451" s="5">
        <f>Raw_Data!F451</f>
        <v>8545.04</v>
      </c>
      <c r="G451" s="3">
        <f>Raw_Data!G451</f>
        <v>137986</v>
      </c>
      <c r="H451" s="3">
        <f>Raw_Data!H451</f>
        <v>6053</v>
      </c>
      <c r="I451" s="3">
        <f>Raw_Data!I451</f>
        <v>403</v>
      </c>
      <c r="J451" s="5">
        <f>Raw_Data!J451</f>
        <v>16546.78</v>
      </c>
      <c r="K451" s="6">
        <f t="shared" si="49"/>
        <v>0.0438667690925166</v>
      </c>
      <c r="L451" s="5">
        <f t="shared" si="50"/>
        <v>1.41170328762597</v>
      </c>
      <c r="M451" s="5">
        <f t="shared" si="51"/>
        <v>21.2035732009926</v>
      </c>
      <c r="N451" s="7">
        <f t="shared" si="52"/>
        <v>1.93641925608306</v>
      </c>
      <c r="O451" s="5">
        <f t="shared" si="53"/>
        <v>8001.74</v>
      </c>
      <c r="P451" s="8">
        <f t="shared" si="54"/>
        <v>48.3582908577983</v>
      </c>
      <c r="Q451" s="3" t="str">
        <f t="shared" si="55"/>
        <v>2025-05</v>
      </c>
    </row>
    <row r="452" customHeight="1" spans="1:17">
      <c r="A452" s="3" t="str">
        <f>Raw_Data!A452</f>
        <v>C0151</v>
      </c>
      <c r="B452" s="4">
        <f>Raw_Data!B452</f>
        <v>45802</v>
      </c>
      <c r="C452" s="3" t="str">
        <f>Raw_Data!C452</f>
        <v>Facebook</v>
      </c>
      <c r="D452" s="3" t="str">
        <f>Raw_Data!D452</f>
        <v>West</v>
      </c>
      <c r="E452" s="5">
        <f>Raw_Data!E452</f>
        <v>8440.03</v>
      </c>
      <c r="F452" s="5">
        <f>Raw_Data!F452</f>
        <v>8165.91</v>
      </c>
      <c r="G452" s="3">
        <f>Raw_Data!G452</f>
        <v>56338</v>
      </c>
      <c r="H452" s="3">
        <f>Raw_Data!H452</f>
        <v>2066</v>
      </c>
      <c r="I452" s="3">
        <f>Raw_Data!I452</f>
        <v>157</v>
      </c>
      <c r="J452" s="5">
        <f>Raw_Data!J452</f>
        <v>5138.09</v>
      </c>
      <c r="K452" s="6">
        <f t="shared" si="49"/>
        <v>0.0366715183357592</v>
      </c>
      <c r="L452" s="5">
        <f t="shared" si="50"/>
        <v>3.95252178121975</v>
      </c>
      <c r="M452" s="5">
        <f t="shared" si="51"/>
        <v>52.0121656050955</v>
      </c>
      <c r="N452" s="7">
        <f t="shared" si="52"/>
        <v>0.629212175985285</v>
      </c>
      <c r="O452" s="5">
        <f t="shared" si="53"/>
        <v>-3027.82</v>
      </c>
      <c r="P452" s="8">
        <f t="shared" si="54"/>
        <v>-58.9289015957291</v>
      </c>
      <c r="Q452" s="3" t="str">
        <f t="shared" si="55"/>
        <v>2025-05</v>
      </c>
    </row>
    <row r="453" customHeight="1" spans="1:17">
      <c r="A453" s="3" t="str">
        <f>Raw_Data!A453</f>
        <v>C0403</v>
      </c>
      <c r="B453" s="4">
        <f>Raw_Data!B453</f>
        <v>45802</v>
      </c>
      <c r="C453" s="3" t="str">
        <f>Raw_Data!C453</f>
        <v>Facebook</v>
      </c>
      <c r="D453" s="3" t="str">
        <f>Raw_Data!D453</f>
        <v>West</v>
      </c>
      <c r="E453" s="5">
        <f>Raw_Data!E453</f>
        <v>7783.07</v>
      </c>
      <c r="F453" s="5">
        <f>Raw_Data!F453</f>
        <v>7267.6</v>
      </c>
      <c r="G453" s="3">
        <f>Raw_Data!G453</f>
        <v>159631</v>
      </c>
      <c r="H453" s="3">
        <f>Raw_Data!H453</f>
        <v>5836</v>
      </c>
      <c r="I453" s="3">
        <f>Raw_Data!I453</f>
        <v>861</v>
      </c>
      <c r="J453" s="5">
        <f>Raw_Data!J453</f>
        <v>24287.78</v>
      </c>
      <c r="K453" s="6">
        <f t="shared" si="49"/>
        <v>0.0365593149200343</v>
      </c>
      <c r="L453" s="5">
        <f t="shared" si="50"/>
        <v>1.245305003427</v>
      </c>
      <c r="M453" s="5">
        <f t="shared" si="51"/>
        <v>8.44088269454123</v>
      </c>
      <c r="N453" s="7">
        <f t="shared" si="52"/>
        <v>3.34192580769442</v>
      </c>
      <c r="O453" s="5">
        <f t="shared" si="53"/>
        <v>17020.18</v>
      </c>
      <c r="P453" s="8">
        <f t="shared" si="54"/>
        <v>70.0771334391204</v>
      </c>
      <c r="Q453" s="3" t="str">
        <f t="shared" si="55"/>
        <v>2025-05</v>
      </c>
    </row>
    <row r="454" customHeight="1" spans="1:17">
      <c r="A454" s="3" t="str">
        <f>Raw_Data!A454</f>
        <v>C0069</v>
      </c>
      <c r="B454" s="4">
        <f>Raw_Data!B454</f>
        <v>45802</v>
      </c>
      <c r="C454" s="3" t="str">
        <f>Raw_Data!C454</f>
        <v>Twitter</v>
      </c>
      <c r="D454" s="3" t="str">
        <f>Raw_Data!D454</f>
        <v>East</v>
      </c>
      <c r="E454" s="5">
        <f>Raw_Data!E454</f>
        <v>7245</v>
      </c>
      <c r="F454" s="5">
        <f>Raw_Data!F454</f>
        <v>5815.99</v>
      </c>
      <c r="G454" s="3">
        <f>Raw_Data!G454</f>
        <v>94836</v>
      </c>
      <c r="H454" s="3">
        <f>Raw_Data!H454</f>
        <v>3956</v>
      </c>
      <c r="I454" s="3">
        <f>Raw_Data!I454</f>
        <v>181</v>
      </c>
      <c r="J454" s="5">
        <f>Raw_Data!J454</f>
        <v>4170.99</v>
      </c>
      <c r="K454" s="6">
        <f t="shared" si="49"/>
        <v>0.0417141170019824</v>
      </c>
      <c r="L454" s="5">
        <f t="shared" si="50"/>
        <v>1.47016936299292</v>
      </c>
      <c r="M454" s="5">
        <f t="shared" si="51"/>
        <v>32.1325414364641</v>
      </c>
      <c r="N454" s="7">
        <f t="shared" si="52"/>
        <v>0.717159073519728</v>
      </c>
      <c r="O454" s="5">
        <f t="shared" si="53"/>
        <v>-1645</v>
      </c>
      <c r="P454" s="8">
        <f t="shared" si="54"/>
        <v>-39.4390780126541</v>
      </c>
      <c r="Q454" s="3" t="str">
        <f t="shared" si="55"/>
        <v>2025-05</v>
      </c>
    </row>
    <row r="455" customHeight="1" spans="1:17">
      <c r="A455" s="3" t="str">
        <f>Raw_Data!A455</f>
        <v>C0209</v>
      </c>
      <c r="B455" s="4">
        <f>Raw_Data!B455</f>
        <v>45802</v>
      </c>
      <c r="C455" s="3" t="str">
        <f>Raw_Data!C455</f>
        <v>LinkedIn</v>
      </c>
      <c r="D455" s="3" t="str">
        <f>Raw_Data!D455</f>
        <v>South</v>
      </c>
      <c r="E455" s="5">
        <f>Raw_Data!E455</f>
        <v>7327.78</v>
      </c>
      <c r="F455" s="5">
        <f>Raw_Data!F455</f>
        <v>6673.22</v>
      </c>
      <c r="G455" s="3">
        <f>Raw_Data!G455</f>
        <v>137418</v>
      </c>
      <c r="H455" s="3">
        <f>Raw_Data!H455</f>
        <v>4255</v>
      </c>
      <c r="I455" s="3">
        <f>Raw_Data!I455</f>
        <v>107</v>
      </c>
      <c r="J455" s="5">
        <f>Raw_Data!J455</f>
        <v>3624.74</v>
      </c>
      <c r="K455" s="6">
        <f t="shared" si="49"/>
        <v>0.0309639203015617</v>
      </c>
      <c r="L455" s="5">
        <f t="shared" si="50"/>
        <v>1.56832432432432</v>
      </c>
      <c r="M455" s="5">
        <f t="shared" si="51"/>
        <v>62.3665420560748</v>
      </c>
      <c r="N455" s="7">
        <f t="shared" si="52"/>
        <v>0.543177056953015</v>
      </c>
      <c r="O455" s="5">
        <f t="shared" si="53"/>
        <v>-3048.48</v>
      </c>
      <c r="P455" s="8">
        <f t="shared" si="54"/>
        <v>-84.1020321457539</v>
      </c>
      <c r="Q455" s="3" t="str">
        <f t="shared" si="55"/>
        <v>2025-05</v>
      </c>
    </row>
    <row r="456" customHeight="1" spans="1:17">
      <c r="A456" s="3" t="str">
        <f>Raw_Data!A456</f>
        <v>C0032</v>
      </c>
      <c r="B456" s="4">
        <f>Raw_Data!B456</f>
        <v>45802</v>
      </c>
      <c r="C456" s="3" t="str">
        <f>Raw_Data!C456</f>
        <v>LinkedIn</v>
      </c>
      <c r="D456" s="3" t="str">
        <f>Raw_Data!D456</f>
        <v>South</v>
      </c>
      <c r="E456" s="5">
        <f>Raw_Data!E456</f>
        <v>6928.94</v>
      </c>
      <c r="F456" s="5">
        <f>Raw_Data!F456</f>
        <v>7145.75</v>
      </c>
      <c r="G456" s="3">
        <f>Raw_Data!G456</f>
        <v>154773</v>
      </c>
      <c r="H456" s="3">
        <f>Raw_Data!H456</f>
        <v>2350</v>
      </c>
      <c r="I456" s="3">
        <f>Raw_Data!I456</f>
        <v>389</v>
      </c>
      <c r="J456" s="5">
        <f>Raw_Data!J456</f>
        <v>13542.59</v>
      </c>
      <c r="K456" s="6">
        <f t="shared" si="49"/>
        <v>0.0151835268425371</v>
      </c>
      <c r="L456" s="5">
        <f t="shared" si="50"/>
        <v>3.04074468085106</v>
      </c>
      <c r="M456" s="5">
        <f t="shared" si="51"/>
        <v>18.3695372750643</v>
      </c>
      <c r="N456" s="7">
        <f t="shared" si="52"/>
        <v>1.89519504600637</v>
      </c>
      <c r="O456" s="5">
        <f t="shared" si="53"/>
        <v>6396.84</v>
      </c>
      <c r="P456" s="8">
        <f t="shared" si="54"/>
        <v>47.2349823778169</v>
      </c>
      <c r="Q456" s="3" t="str">
        <f t="shared" si="55"/>
        <v>2025-05</v>
      </c>
    </row>
    <row r="457" customHeight="1" spans="1:17">
      <c r="A457" s="3" t="str">
        <f>Raw_Data!A457</f>
        <v>C0478</v>
      </c>
      <c r="B457" s="4">
        <f>Raw_Data!B457</f>
        <v>45802</v>
      </c>
      <c r="C457" s="3" t="str">
        <f>Raw_Data!C457</f>
        <v>LinkedIn</v>
      </c>
      <c r="D457" s="3" t="str">
        <f>Raw_Data!D457</f>
        <v>West</v>
      </c>
      <c r="E457" s="5">
        <f>Raw_Data!E457</f>
        <v>6609.17</v>
      </c>
      <c r="F457" s="5">
        <f>Raw_Data!F457</f>
        <v>6256.6</v>
      </c>
      <c r="G457" s="3">
        <f>Raw_Data!G457</f>
        <v>199789</v>
      </c>
      <c r="H457" s="3">
        <f>Raw_Data!H457</f>
        <v>2837</v>
      </c>
      <c r="I457" s="3">
        <f>Raw_Data!I457</f>
        <v>387</v>
      </c>
      <c r="J457" s="5">
        <f>Raw_Data!J457</f>
        <v>15482.29</v>
      </c>
      <c r="K457" s="6">
        <f t="shared" si="49"/>
        <v>0.0141999809799338</v>
      </c>
      <c r="L457" s="5">
        <f t="shared" si="50"/>
        <v>2.20535777229468</v>
      </c>
      <c r="M457" s="5">
        <f t="shared" si="51"/>
        <v>16.1669250645995</v>
      </c>
      <c r="N457" s="7">
        <f t="shared" si="52"/>
        <v>2.47455327174504</v>
      </c>
      <c r="O457" s="5">
        <f t="shared" si="53"/>
        <v>9225.69</v>
      </c>
      <c r="P457" s="8">
        <f t="shared" si="54"/>
        <v>59.5886655010338</v>
      </c>
      <c r="Q457" s="3" t="str">
        <f t="shared" si="55"/>
        <v>2025-05</v>
      </c>
    </row>
    <row r="458" customHeight="1" spans="1:17">
      <c r="A458" s="3" t="str">
        <f>Raw_Data!A458</f>
        <v>C0019</v>
      </c>
      <c r="B458" s="4">
        <f>Raw_Data!B458</f>
        <v>45803</v>
      </c>
      <c r="C458" s="3" t="str">
        <f>Raw_Data!C458</f>
        <v>Google Ads</v>
      </c>
      <c r="D458" s="3" t="str">
        <f>Raw_Data!D458</f>
        <v>South</v>
      </c>
      <c r="E458" s="5">
        <f>Raw_Data!E458</f>
        <v>7185.3</v>
      </c>
      <c r="F458" s="5">
        <f>Raw_Data!F458</f>
        <v>7735.42</v>
      </c>
      <c r="G458" s="3">
        <f>Raw_Data!G458</f>
        <v>113245</v>
      </c>
      <c r="H458" s="3">
        <f>Raw_Data!H458</f>
        <v>4048</v>
      </c>
      <c r="I458" s="3">
        <f>Raw_Data!I458</f>
        <v>620</v>
      </c>
      <c r="J458" s="5">
        <f>Raw_Data!J458</f>
        <v>14045.96</v>
      </c>
      <c r="K458" s="6">
        <f t="shared" si="49"/>
        <v>0.0357455075279262</v>
      </c>
      <c r="L458" s="5">
        <f t="shared" si="50"/>
        <v>1.91092391304348</v>
      </c>
      <c r="M458" s="5">
        <f t="shared" si="51"/>
        <v>12.4764838709677</v>
      </c>
      <c r="N458" s="7">
        <f t="shared" si="52"/>
        <v>1.81579797864886</v>
      </c>
      <c r="O458" s="5">
        <f t="shared" si="53"/>
        <v>6310.54</v>
      </c>
      <c r="P458" s="8">
        <f t="shared" si="54"/>
        <v>44.9277941842352</v>
      </c>
      <c r="Q458" s="3" t="str">
        <f t="shared" si="55"/>
        <v>2025-05</v>
      </c>
    </row>
    <row r="459" customHeight="1" spans="1:17">
      <c r="A459" s="3" t="str">
        <f>Raw_Data!A459</f>
        <v>C0438</v>
      </c>
      <c r="B459" s="4">
        <f>Raw_Data!B459</f>
        <v>45803</v>
      </c>
      <c r="C459" s="3" t="str">
        <f>Raw_Data!C459</f>
        <v>Google Ads</v>
      </c>
      <c r="D459" s="3" t="str">
        <f>Raw_Data!D459</f>
        <v>North</v>
      </c>
      <c r="E459" s="5">
        <f>Raw_Data!E459</f>
        <v>9263.72</v>
      </c>
      <c r="F459" s="5">
        <f>Raw_Data!F459</f>
        <v>8932.8</v>
      </c>
      <c r="G459" s="3">
        <f>Raw_Data!G459</f>
        <v>72755</v>
      </c>
      <c r="H459" s="3">
        <f>Raw_Data!H459</f>
        <v>2170</v>
      </c>
      <c r="I459" s="3">
        <f>Raw_Data!I459</f>
        <v>58</v>
      </c>
      <c r="J459" s="5">
        <f>Raw_Data!J459</f>
        <v>2582.1</v>
      </c>
      <c r="K459" s="6">
        <f t="shared" si="49"/>
        <v>0.0298261287883994</v>
      </c>
      <c r="L459" s="5">
        <f t="shared" si="50"/>
        <v>4.11649769585253</v>
      </c>
      <c r="M459" s="5">
        <f t="shared" si="51"/>
        <v>154.013793103448</v>
      </c>
      <c r="N459" s="7">
        <f t="shared" si="52"/>
        <v>0.289058301988178</v>
      </c>
      <c r="O459" s="5">
        <f t="shared" si="53"/>
        <v>-6350.7</v>
      </c>
      <c r="P459" s="8">
        <f t="shared" si="54"/>
        <v>-245.950970140583</v>
      </c>
      <c r="Q459" s="3" t="str">
        <f t="shared" si="55"/>
        <v>2025-05</v>
      </c>
    </row>
    <row r="460" customHeight="1" spans="1:17">
      <c r="A460" s="3" t="str">
        <f>Raw_Data!A460</f>
        <v>C0261</v>
      </c>
      <c r="B460" s="4">
        <f>Raw_Data!B460</f>
        <v>45803</v>
      </c>
      <c r="C460" s="3" t="str">
        <f>Raw_Data!C460</f>
        <v>Twitter</v>
      </c>
      <c r="D460" s="3" t="str">
        <f>Raw_Data!D460</f>
        <v>South</v>
      </c>
      <c r="E460" s="5">
        <f>Raw_Data!E460</f>
        <v>7857.64</v>
      </c>
      <c r="F460" s="5">
        <f>Raw_Data!F460</f>
        <v>7565.47</v>
      </c>
      <c r="G460" s="3">
        <f>Raw_Data!G460</f>
        <v>75023</v>
      </c>
      <c r="H460" s="3">
        <f>Raw_Data!H460</f>
        <v>2918</v>
      </c>
      <c r="I460" s="3">
        <f>Raw_Data!I460</f>
        <v>193</v>
      </c>
      <c r="J460" s="5">
        <f>Raw_Data!J460</f>
        <v>5317.92</v>
      </c>
      <c r="K460" s="6">
        <f t="shared" si="49"/>
        <v>0.038894738946723</v>
      </c>
      <c r="L460" s="5">
        <f t="shared" si="50"/>
        <v>2.59269019876628</v>
      </c>
      <c r="M460" s="5">
        <f t="shared" si="51"/>
        <v>39.1993264248705</v>
      </c>
      <c r="N460" s="7">
        <f t="shared" si="52"/>
        <v>0.702919977212255</v>
      </c>
      <c r="O460" s="5">
        <f t="shared" si="53"/>
        <v>-2247.55</v>
      </c>
      <c r="P460" s="8">
        <f t="shared" si="54"/>
        <v>-42.2637046063122</v>
      </c>
      <c r="Q460" s="3" t="str">
        <f t="shared" si="55"/>
        <v>2025-05</v>
      </c>
    </row>
    <row r="461" customHeight="1" spans="1:17">
      <c r="A461" s="3" t="str">
        <f>Raw_Data!A461</f>
        <v>C0407</v>
      </c>
      <c r="B461" s="4">
        <f>Raw_Data!B461</f>
        <v>45803</v>
      </c>
      <c r="C461" s="3" t="str">
        <f>Raw_Data!C461</f>
        <v>Twitter</v>
      </c>
      <c r="D461" s="3" t="str">
        <f>Raw_Data!D461</f>
        <v>West</v>
      </c>
      <c r="E461" s="5">
        <f>Raw_Data!E461</f>
        <v>7581.58</v>
      </c>
      <c r="F461" s="5">
        <f>Raw_Data!F461</f>
        <v>6686.79</v>
      </c>
      <c r="G461" s="3">
        <f>Raw_Data!G461</f>
        <v>192599</v>
      </c>
      <c r="H461" s="3">
        <f>Raw_Data!H461</f>
        <v>7700</v>
      </c>
      <c r="I461" s="3">
        <f>Raw_Data!I461</f>
        <v>1117</v>
      </c>
      <c r="J461" s="5">
        <f>Raw_Data!J461</f>
        <v>54203.44</v>
      </c>
      <c r="K461" s="6">
        <f t="shared" si="49"/>
        <v>0.0399794391455823</v>
      </c>
      <c r="L461" s="5">
        <f t="shared" si="50"/>
        <v>0.868414285714286</v>
      </c>
      <c r="M461" s="5">
        <f t="shared" si="51"/>
        <v>5.98638316920322</v>
      </c>
      <c r="N461" s="7">
        <f t="shared" si="52"/>
        <v>8.10604789443066</v>
      </c>
      <c r="O461" s="5">
        <f t="shared" si="53"/>
        <v>47516.65</v>
      </c>
      <c r="P461" s="8">
        <f t="shared" si="54"/>
        <v>87.663532056268</v>
      </c>
      <c r="Q461" s="3" t="str">
        <f t="shared" si="55"/>
        <v>2025-05</v>
      </c>
    </row>
    <row r="462" customHeight="1" spans="1:17">
      <c r="A462" s="3" t="str">
        <f>Raw_Data!A462</f>
        <v>C0482</v>
      </c>
      <c r="B462" s="4">
        <f>Raw_Data!B462</f>
        <v>45804</v>
      </c>
      <c r="C462" s="3" t="str">
        <f>Raw_Data!C462</f>
        <v>Google Ads</v>
      </c>
      <c r="D462" s="3" t="str">
        <f>Raw_Data!D462</f>
        <v>South</v>
      </c>
      <c r="E462" s="5">
        <f>Raw_Data!E462</f>
        <v>6106.25</v>
      </c>
      <c r="F462" s="5">
        <f>Raw_Data!F462</f>
        <v>6475.33</v>
      </c>
      <c r="G462" s="3">
        <f>Raw_Data!G462</f>
        <v>115700</v>
      </c>
      <c r="H462" s="3">
        <f>Raw_Data!H462</f>
        <v>2582</v>
      </c>
      <c r="I462" s="3">
        <f>Raw_Data!I462</f>
        <v>147</v>
      </c>
      <c r="J462" s="5">
        <f>Raw_Data!J462</f>
        <v>3721.23</v>
      </c>
      <c r="K462" s="6">
        <f t="shared" si="49"/>
        <v>0.0223163353500432</v>
      </c>
      <c r="L462" s="5">
        <f t="shared" si="50"/>
        <v>2.50787374128582</v>
      </c>
      <c r="M462" s="5">
        <f t="shared" si="51"/>
        <v>44.0498639455782</v>
      </c>
      <c r="N462" s="7">
        <f t="shared" si="52"/>
        <v>0.574678047296431</v>
      </c>
      <c r="O462" s="5">
        <f t="shared" si="53"/>
        <v>-2754.1</v>
      </c>
      <c r="P462" s="8">
        <f t="shared" si="54"/>
        <v>-74.0104750311053</v>
      </c>
      <c r="Q462" s="3" t="str">
        <f t="shared" si="55"/>
        <v>2025-05</v>
      </c>
    </row>
    <row r="463" customHeight="1" spans="1:17">
      <c r="A463" s="3" t="str">
        <f>Raw_Data!A463</f>
        <v>C0434</v>
      </c>
      <c r="B463" s="4">
        <f>Raw_Data!B463</f>
        <v>45804</v>
      </c>
      <c r="C463" s="3" t="str">
        <f>Raw_Data!C463</f>
        <v>Facebook</v>
      </c>
      <c r="D463" s="3" t="str">
        <f>Raw_Data!D463</f>
        <v>North</v>
      </c>
      <c r="E463" s="5">
        <f>Raw_Data!E463</f>
        <v>7945.33</v>
      </c>
      <c r="F463" s="5">
        <f>Raw_Data!F463</f>
        <v>6431.55</v>
      </c>
      <c r="G463" s="3">
        <f>Raw_Data!G463</f>
        <v>174898</v>
      </c>
      <c r="H463" s="3">
        <f>Raw_Data!H463</f>
        <v>7877</v>
      </c>
      <c r="I463" s="3">
        <f>Raw_Data!I463</f>
        <v>806</v>
      </c>
      <c r="J463" s="5">
        <f>Raw_Data!J463</f>
        <v>38757.61</v>
      </c>
      <c r="K463" s="6">
        <f t="shared" si="49"/>
        <v>0.0450376791043923</v>
      </c>
      <c r="L463" s="5">
        <f t="shared" si="50"/>
        <v>0.816497397486353</v>
      </c>
      <c r="M463" s="5">
        <f t="shared" si="51"/>
        <v>7.9795905707196</v>
      </c>
      <c r="N463" s="7">
        <f t="shared" si="52"/>
        <v>6.02616943038614</v>
      </c>
      <c r="O463" s="5">
        <f t="shared" si="53"/>
        <v>32326.06</v>
      </c>
      <c r="P463" s="8">
        <f t="shared" si="54"/>
        <v>83.4057105172378</v>
      </c>
      <c r="Q463" s="3" t="str">
        <f t="shared" si="55"/>
        <v>2025-05</v>
      </c>
    </row>
    <row r="464" customHeight="1" spans="1:17">
      <c r="A464" s="3" t="str">
        <f>Raw_Data!A464</f>
        <v>C0190</v>
      </c>
      <c r="B464" s="4">
        <f>Raw_Data!B464</f>
        <v>45804</v>
      </c>
      <c r="C464" s="3" t="str">
        <f>Raw_Data!C464</f>
        <v>Facebook</v>
      </c>
      <c r="D464" s="3" t="str">
        <f>Raw_Data!D464</f>
        <v>North</v>
      </c>
      <c r="E464" s="5">
        <f>Raw_Data!E464</f>
        <v>6062.32</v>
      </c>
      <c r="F464" s="5">
        <f>Raw_Data!F464</f>
        <v>6494.25</v>
      </c>
      <c r="G464" s="3">
        <f>Raw_Data!G464</f>
        <v>54315</v>
      </c>
      <c r="H464" s="3">
        <f>Raw_Data!H464</f>
        <v>1126</v>
      </c>
      <c r="I464" s="3">
        <f>Raw_Data!I464</f>
        <v>180</v>
      </c>
      <c r="J464" s="5">
        <f>Raw_Data!J464</f>
        <v>5480.58</v>
      </c>
      <c r="K464" s="6">
        <f t="shared" si="49"/>
        <v>0.0207309214765719</v>
      </c>
      <c r="L464" s="5">
        <f t="shared" si="50"/>
        <v>5.76753996447602</v>
      </c>
      <c r="M464" s="5">
        <f t="shared" si="51"/>
        <v>36.0791666666667</v>
      </c>
      <c r="N464" s="7">
        <f t="shared" si="52"/>
        <v>0.843912691996766</v>
      </c>
      <c r="O464" s="5">
        <f t="shared" si="53"/>
        <v>-1013.67</v>
      </c>
      <c r="P464" s="8">
        <f t="shared" si="54"/>
        <v>-18.4956701662963</v>
      </c>
      <c r="Q464" s="3" t="str">
        <f t="shared" si="55"/>
        <v>2025-05</v>
      </c>
    </row>
    <row r="465" customHeight="1" spans="1:17">
      <c r="A465" s="3" t="str">
        <f>Raw_Data!A465</f>
        <v>C0429</v>
      </c>
      <c r="B465" s="4">
        <f>Raw_Data!B465</f>
        <v>45804</v>
      </c>
      <c r="C465" s="3" t="str">
        <f>Raw_Data!C465</f>
        <v>Facebook</v>
      </c>
      <c r="D465" s="3" t="str">
        <f>Raw_Data!D465</f>
        <v>South</v>
      </c>
      <c r="E465" s="5">
        <f>Raw_Data!E465</f>
        <v>5285.23</v>
      </c>
      <c r="F465" s="5">
        <f>Raw_Data!F465</f>
        <v>5049.05</v>
      </c>
      <c r="G465" s="3">
        <f>Raw_Data!G465</f>
        <v>134423</v>
      </c>
      <c r="H465" s="3">
        <f>Raw_Data!H465</f>
        <v>2548</v>
      </c>
      <c r="I465" s="3">
        <f>Raw_Data!I465</f>
        <v>363</v>
      </c>
      <c r="J465" s="5">
        <f>Raw_Data!J465</f>
        <v>8216.87</v>
      </c>
      <c r="K465" s="6">
        <f t="shared" si="49"/>
        <v>0.0189550895308095</v>
      </c>
      <c r="L465" s="5">
        <f t="shared" si="50"/>
        <v>1.9815737833595</v>
      </c>
      <c r="M465" s="5">
        <f t="shared" si="51"/>
        <v>13.9092286501377</v>
      </c>
      <c r="N465" s="7">
        <f t="shared" si="52"/>
        <v>1.62740911656648</v>
      </c>
      <c r="O465" s="5">
        <f t="shared" si="53"/>
        <v>3167.82</v>
      </c>
      <c r="P465" s="8">
        <f t="shared" si="54"/>
        <v>38.5526362227953</v>
      </c>
      <c r="Q465" s="3" t="str">
        <f t="shared" si="55"/>
        <v>2025-05</v>
      </c>
    </row>
    <row r="466" customHeight="1" spans="1:17">
      <c r="A466" s="3" t="str">
        <f>Raw_Data!A466</f>
        <v>C0105</v>
      </c>
      <c r="B466" s="4">
        <f>Raw_Data!B466</f>
        <v>45805</v>
      </c>
      <c r="C466" s="3" t="str">
        <f>Raw_Data!C466</f>
        <v>Twitter</v>
      </c>
      <c r="D466" s="3" t="str">
        <f>Raw_Data!D466</f>
        <v>West</v>
      </c>
      <c r="E466" s="5">
        <f>Raw_Data!E466</f>
        <v>3177.46</v>
      </c>
      <c r="F466" s="5">
        <f>Raw_Data!F466</f>
        <v>3459.6</v>
      </c>
      <c r="G466" s="3">
        <f>Raw_Data!G466</f>
        <v>120702</v>
      </c>
      <c r="H466" s="3">
        <f>Raw_Data!H466</f>
        <v>2467</v>
      </c>
      <c r="I466" s="3">
        <f>Raw_Data!I466</f>
        <v>288</v>
      </c>
      <c r="J466" s="5">
        <f>Raw_Data!J466</f>
        <v>12982.87</v>
      </c>
      <c r="K466" s="6">
        <f t="shared" si="49"/>
        <v>0.0204387665490216</v>
      </c>
      <c r="L466" s="5">
        <f t="shared" si="50"/>
        <v>1.4023510336441</v>
      </c>
      <c r="M466" s="5">
        <f t="shared" si="51"/>
        <v>12.0125</v>
      </c>
      <c r="N466" s="7">
        <f t="shared" si="52"/>
        <v>3.75270840559602</v>
      </c>
      <c r="O466" s="5">
        <f t="shared" si="53"/>
        <v>9523.27</v>
      </c>
      <c r="P466" s="8">
        <f t="shared" si="54"/>
        <v>73.3525792062926</v>
      </c>
      <c r="Q466" s="3" t="str">
        <f t="shared" si="55"/>
        <v>2025-05</v>
      </c>
    </row>
    <row r="467" customHeight="1" spans="1:17">
      <c r="A467" s="3" t="str">
        <f>Raw_Data!A467</f>
        <v>C0013</v>
      </c>
      <c r="B467" s="4">
        <f>Raw_Data!B467</f>
        <v>45805</v>
      </c>
      <c r="C467" s="3" t="str">
        <f>Raw_Data!C467</f>
        <v>LinkedIn</v>
      </c>
      <c r="D467" s="3" t="str">
        <f>Raw_Data!D467</f>
        <v>West</v>
      </c>
      <c r="E467" s="5">
        <f>Raw_Data!E467</f>
        <v>5132.3</v>
      </c>
      <c r="F467" s="5">
        <f>Raw_Data!F467</f>
        <v>4256.22</v>
      </c>
      <c r="G467" s="3">
        <f>Raw_Data!G467</f>
        <v>69520</v>
      </c>
      <c r="H467" s="3">
        <f>Raw_Data!H467</f>
        <v>1141</v>
      </c>
      <c r="I467" s="3">
        <f>Raw_Data!I467</f>
        <v>134</v>
      </c>
      <c r="J467" s="5">
        <f>Raw_Data!J467</f>
        <v>5430.62</v>
      </c>
      <c r="K467" s="6">
        <f t="shared" si="49"/>
        <v>0.0164125431530495</v>
      </c>
      <c r="L467" s="5">
        <f t="shared" si="50"/>
        <v>3.7302541630149</v>
      </c>
      <c r="M467" s="5">
        <f t="shared" si="51"/>
        <v>31.7628358208955</v>
      </c>
      <c r="N467" s="7">
        <f t="shared" si="52"/>
        <v>1.27592558655333</v>
      </c>
      <c r="O467" s="5">
        <f t="shared" si="53"/>
        <v>1174.4</v>
      </c>
      <c r="P467" s="8">
        <f t="shared" si="54"/>
        <v>21.6255234208985</v>
      </c>
      <c r="Q467" s="3" t="str">
        <f t="shared" si="55"/>
        <v>2025-05</v>
      </c>
    </row>
    <row r="468" customHeight="1" spans="1:17">
      <c r="A468" s="3" t="str">
        <f>Raw_Data!A468</f>
        <v>C0064</v>
      </c>
      <c r="B468" s="4">
        <f>Raw_Data!B468</f>
        <v>45805</v>
      </c>
      <c r="C468" s="3" t="str">
        <f>Raw_Data!C468</f>
        <v>Twitter</v>
      </c>
      <c r="D468" s="3" t="str">
        <f>Raw_Data!D468</f>
        <v>South</v>
      </c>
      <c r="E468" s="5">
        <f>Raw_Data!E468</f>
        <v>4692.97</v>
      </c>
      <c r="F468" s="5">
        <f>Raw_Data!F468</f>
        <v>3885.45</v>
      </c>
      <c r="G468" s="3">
        <f>Raw_Data!G468</f>
        <v>135649</v>
      </c>
      <c r="H468" s="3">
        <f>Raw_Data!H468</f>
        <v>5567</v>
      </c>
      <c r="I468" s="3">
        <f>Raw_Data!I468</f>
        <v>914</v>
      </c>
      <c r="J468" s="5">
        <f>Raw_Data!J468</f>
        <v>42881.66</v>
      </c>
      <c r="K468" s="6">
        <f t="shared" si="49"/>
        <v>0.0410397422760212</v>
      </c>
      <c r="L468" s="5">
        <f t="shared" si="50"/>
        <v>0.69794323693192</v>
      </c>
      <c r="M468" s="5">
        <f t="shared" si="51"/>
        <v>4.25103938730853</v>
      </c>
      <c r="N468" s="7">
        <f t="shared" si="52"/>
        <v>11.0364719659242</v>
      </c>
      <c r="O468" s="5">
        <f t="shared" si="53"/>
        <v>38996.21</v>
      </c>
      <c r="P468" s="8">
        <f t="shared" si="54"/>
        <v>90.9391334197417</v>
      </c>
      <c r="Q468" s="3" t="str">
        <f t="shared" si="55"/>
        <v>2025-05</v>
      </c>
    </row>
    <row r="469" customHeight="1" spans="1:17">
      <c r="A469" s="3" t="str">
        <f>Raw_Data!A469</f>
        <v>C0225</v>
      </c>
      <c r="B469" s="4">
        <f>Raw_Data!B469</f>
        <v>45806</v>
      </c>
      <c r="C469" s="3" t="str">
        <f>Raw_Data!C469</f>
        <v>Google Ads</v>
      </c>
      <c r="D469" s="3" t="str">
        <f>Raw_Data!D469</f>
        <v>West</v>
      </c>
      <c r="E469" s="5">
        <f>Raw_Data!E469</f>
        <v>3561.64</v>
      </c>
      <c r="F469" s="5">
        <f>Raw_Data!F469</f>
        <v>3409.75</v>
      </c>
      <c r="G469" s="3">
        <f>Raw_Data!G469</f>
        <v>89656</v>
      </c>
      <c r="H469" s="3">
        <f>Raw_Data!H469</f>
        <v>1499</v>
      </c>
      <c r="I469" s="3">
        <f>Raw_Data!I469</f>
        <v>94</v>
      </c>
      <c r="J469" s="5">
        <f>Raw_Data!J469</f>
        <v>3037.32</v>
      </c>
      <c r="K469" s="6">
        <f t="shared" si="49"/>
        <v>0.0167194610511288</v>
      </c>
      <c r="L469" s="5">
        <f t="shared" si="50"/>
        <v>2.27468312208139</v>
      </c>
      <c r="M469" s="5">
        <f t="shared" si="51"/>
        <v>36.2739361702128</v>
      </c>
      <c r="N469" s="7">
        <f t="shared" si="52"/>
        <v>0.890774983503189</v>
      </c>
      <c r="O469" s="5">
        <f t="shared" si="53"/>
        <v>-372.43</v>
      </c>
      <c r="P469" s="8">
        <f t="shared" si="54"/>
        <v>-12.2617965838305</v>
      </c>
      <c r="Q469" s="3" t="str">
        <f t="shared" si="55"/>
        <v>2025-05</v>
      </c>
    </row>
    <row r="470" customHeight="1" spans="1:17">
      <c r="A470" s="3" t="str">
        <f>Raw_Data!A470</f>
        <v>C0168</v>
      </c>
      <c r="B470" s="4">
        <f>Raw_Data!B470</f>
        <v>45806</v>
      </c>
      <c r="C470" s="3" t="str">
        <f>Raw_Data!C470</f>
        <v>Facebook</v>
      </c>
      <c r="D470" s="3" t="str">
        <f>Raw_Data!D470</f>
        <v>East</v>
      </c>
      <c r="E470" s="5">
        <f>Raw_Data!E470</f>
        <v>6752.67</v>
      </c>
      <c r="F470" s="5">
        <f>Raw_Data!F470</f>
        <v>6029.18</v>
      </c>
      <c r="G470" s="3">
        <f>Raw_Data!G470</f>
        <v>53089</v>
      </c>
      <c r="H470" s="3">
        <f>Raw_Data!H470</f>
        <v>1998</v>
      </c>
      <c r="I470" s="3">
        <f>Raw_Data!I470</f>
        <v>204</v>
      </c>
      <c r="J470" s="5">
        <f>Raw_Data!J470</f>
        <v>9060.43</v>
      </c>
      <c r="K470" s="6">
        <f t="shared" si="49"/>
        <v>0.0376349149541336</v>
      </c>
      <c r="L470" s="5">
        <f t="shared" si="50"/>
        <v>3.01760760760761</v>
      </c>
      <c r="M470" s="5">
        <f t="shared" si="51"/>
        <v>29.5548039215686</v>
      </c>
      <c r="N470" s="7">
        <f t="shared" si="52"/>
        <v>1.50276322816701</v>
      </c>
      <c r="O470" s="5">
        <f t="shared" si="53"/>
        <v>3031.25</v>
      </c>
      <c r="P470" s="8">
        <f t="shared" si="54"/>
        <v>33.4559176551223</v>
      </c>
      <c r="Q470" s="3" t="str">
        <f t="shared" si="55"/>
        <v>2025-05</v>
      </c>
    </row>
    <row r="471" customHeight="1" spans="1:17">
      <c r="A471" s="3" t="str">
        <f>Raw_Data!A471</f>
        <v>C0471</v>
      </c>
      <c r="B471" s="4">
        <f>Raw_Data!B471</f>
        <v>45806</v>
      </c>
      <c r="C471" s="3" t="str">
        <f>Raw_Data!C471</f>
        <v>Google Ads</v>
      </c>
      <c r="D471" s="3" t="str">
        <f>Raw_Data!D471</f>
        <v>North</v>
      </c>
      <c r="E471" s="5">
        <f>Raw_Data!E471</f>
        <v>4440.89</v>
      </c>
      <c r="F471" s="5">
        <f>Raw_Data!F471</f>
        <v>3701.82</v>
      </c>
      <c r="G471" s="3">
        <f>Raw_Data!G471</f>
        <v>138622</v>
      </c>
      <c r="H471" s="3">
        <f>Raw_Data!H471</f>
        <v>4757</v>
      </c>
      <c r="I471" s="3">
        <f>Raw_Data!I471</f>
        <v>629</v>
      </c>
      <c r="J471" s="5">
        <f>Raw_Data!J471</f>
        <v>17670.18</v>
      </c>
      <c r="K471" s="6">
        <f t="shared" si="49"/>
        <v>0.0343163422833316</v>
      </c>
      <c r="L471" s="5">
        <f t="shared" si="50"/>
        <v>0.778183729241118</v>
      </c>
      <c r="M471" s="5">
        <f t="shared" si="51"/>
        <v>5.88524642289348</v>
      </c>
      <c r="N471" s="7">
        <f t="shared" si="52"/>
        <v>4.77337633920612</v>
      </c>
      <c r="O471" s="5">
        <f t="shared" si="53"/>
        <v>13968.36</v>
      </c>
      <c r="P471" s="8">
        <f t="shared" si="54"/>
        <v>79.0504680767259</v>
      </c>
      <c r="Q471" s="3" t="str">
        <f t="shared" si="55"/>
        <v>2025-05</v>
      </c>
    </row>
    <row r="472" customHeight="1" spans="1:17">
      <c r="A472" s="3" t="str">
        <f>Raw_Data!A472</f>
        <v>C0050</v>
      </c>
      <c r="B472" s="4">
        <f>Raw_Data!B472</f>
        <v>45806</v>
      </c>
      <c r="C472" s="3" t="str">
        <f>Raw_Data!C472</f>
        <v>LinkedIn</v>
      </c>
      <c r="D472" s="3" t="str">
        <f>Raw_Data!D472</f>
        <v>North</v>
      </c>
      <c r="E472" s="5">
        <f>Raw_Data!E472</f>
        <v>6518.75</v>
      </c>
      <c r="F472" s="5">
        <f>Raw_Data!F472</f>
        <v>5315.67</v>
      </c>
      <c r="G472" s="3">
        <f>Raw_Data!G472</f>
        <v>64306</v>
      </c>
      <c r="H472" s="3">
        <f>Raw_Data!H472</f>
        <v>2956</v>
      </c>
      <c r="I472" s="3">
        <f>Raw_Data!I472</f>
        <v>50</v>
      </c>
      <c r="J472" s="5">
        <f>Raw_Data!J472</f>
        <v>1417.97</v>
      </c>
      <c r="K472" s="6">
        <f t="shared" si="49"/>
        <v>0.0459677168537928</v>
      </c>
      <c r="L472" s="5">
        <f t="shared" si="50"/>
        <v>1.79826454668471</v>
      </c>
      <c r="M472" s="5">
        <f t="shared" si="51"/>
        <v>106.3134</v>
      </c>
      <c r="N472" s="7">
        <f t="shared" si="52"/>
        <v>0.266752827018984</v>
      </c>
      <c r="O472" s="5">
        <f t="shared" si="53"/>
        <v>-3897.7</v>
      </c>
      <c r="P472" s="8">
        <f t="shared" si="54"/>
        <v>-274.878876139834</v>
      </c>
      <c r="Q472" s="3" t="str">
        <f t="shared" si="55"/>
        <v>2025-05</v>
      </c>
    </row>
    <row r="473" customHeight="1" spans="1:17">
      <c r="A473" s="3" t="str">
        <f>Raw_Data!A473</f>
        <v>C0201</v>
      </c>
      <c r="B473" s="4">
        <f>Raw_Data!B473</f>
        <v>45807</v>
      </c>
      <c r="C473" s="3" t="str">
        <f>Raw_Data!C473</f>
        <v>LinkedIn</v>
      </c>
      <c r="D473" s="3" t="str">
        <f>Raw_Data!D473</f>
        <v>South</v>
      </c>
      <c r="E473" s="5">
        <f>Raw_Data!E473</f>
        <v>4182.55</v>
      </c>
      <c r="F473" s="5">
        <f>Raw_Data!F473</f>
        <v>3695.61</v>
      </c>
      <c r="G473" s="3">
        <f>Raw_Data!G473</f>
        <v>127713</v>
      </c>
      <c r="H473" s="3">
        <f>Raw_Data!H473</f>
        <v>1869</v>
      </c>
      <c r="I473" s="3">
        <f>Raw_Data!I473</f>
        <v>349</v>
      </c>
      <c r="J473" s="5">
        <f>Raw_Data!J473</f>
        <v>8833.3</v>
      </c>
      <c r="K473" s="6">
        <f t="shared" si="49"/>
        <v>0.0146343755138475</v>
      </c>
      <c r="L473" s="5">
        <f t="shared" si="50"/>
        <v>1.97731942215088</v>
      </c>
      <c r="M473" s="5">
        <f t="shared" si="51"/>
        <v>10.5891404011461</v>
      </c>
      <c r="N473" s="7">
        <f t="shared" si="52"/>
        <v>2.39021433538712</v>
      </c>
      <c r="O473" s="5">
        <f t="shared" si="53"/>
        <v>5137.69</v>
      </c>
      <c r="P473" s="8">
        <f t="shared" si="54"/>
        <v>58.1627477839539</v>
      </c>
      <c r="Q473" s="3" t="str">
        <f t="shared" si="55"/>
        <v>2025-05</v>
      </c>
    </row>
    <row r="474" customHeight="1" spans="1:17">
      <c r="A474" s="3" t="str">
        <f>Raw_Data!A474</f>
        <v>C0112</v>
      </c>
      <c r="B474" s="4">
        <f>Raw_Data!B474</f>
        <v>45807</v>
      </c>
      <c r="C474" s="3" t="str">
        <f>Raw_Data!C474</f>
        <v>Twitter</v>
      </c>
      <c r="D474" s="3" t="str">
        <f>Raw_Data!D474</f>
        <v>East</v>
      </c>
      <c r="E474" s="5">
        <f>Raw_Data!E474</f>
        <v>3812.51</v>
      </c>
      <c r="F474" s="5">
        <f>Raw_Data!F474</f>
        <v>3102.62</v>
      </c>
      <c r="G474" s="3">
        <f>Raw_Data!G474</f>
        <v>134164</v>
      </c>
      <c r="H474" s="3">
        <f>Raw_Data!H474</f>
        <v>3192</v>
      </c>
      <c r="I474" s="3">
        <f>Raw_Data!I474</f>
        <v>339</v>
      </c>
      <c r="J474" s="5">
        <f>Raw_Data!J474</f>
        <v>7194.21</v>
      </c>
      <c r="K474" s="6">
        <f t="shared" si="49"/>
        <v>0.0237917772278704</v>
      </c>
      <c r="L474" s="5">
        <f t="shared" si="50"/>
        <v>0.971998746867168</v>
      </c>
      <c r="M474" s="5">
        <f t="shared" si="51"/>
        <v>9.15227138643068</v>
      </c>
      <c r="N474" s="7">
        <f t="shared" si="52"/>
        <v>2.3187531827939</v>
      </c>
      <c r="O474" s="5">
        <f t="shared" si="53"/>
        <v>4091.59</v>
      </c>
      <c r="P474" s="8">
        <f t="shared" si="54"/>
        <v>56.8733745609316</v>
      </c>
      <c r="Q474" s="3" t="str">
        <f t="shared" si="55"/>
        <v>2025-05</v>
      </c>
    </row>
    <row r="475" customHeight="1" spans="1:17">
      <c r="A475" s="3" t="str">
        <f>Raw_Data!A475</f>
        <v>C0004</v>
      </c>
      <c r="B475" s="4">
        <f>Raw_Data!B475</f>
        <v>45807</v>
      </c>
      <c r="C475" s="3" t="str">
        <f>Raw_Data!C475</f>
        <v>Twitter</v>
      </c>
      <c r="D475" s="3" t="str">
        <f>Raw_Data!D475</f>
        <v>West</v>
      </c>
      <c r="E475" s="5">
        <f>Raw_Data!E475</f>
        <v>7956.51</v>
      </c>
      <c r="F475" s="5">
        <f>Raw_Data!F475</f>
        <v>6414.34</v>
      </c>
      <c r="G475" s="3">
        <f>Raw_Data!G475</f>
        <v>91921</v>
      </c>
      <c r="H475" s="3">
        <f>Raw_Data!H475</f>
        <v>3787</v>
      </c>
      <c r="I475" s="3">
        <f>Raw_Data!I475</f>
        <v>329</v>
      </c>
      <c r="J475" s="5">
        <f>Raw_Data!J475</f>
        <v>16153.01</v>
      </c>
      <c r="K475" s="6">
        <f t="shared" si="49"/>
        <v>0.0411984203827199</v>
      </c>
      <c r="L475" s="5">
        <f t="shared" si="50"/>
        <v>1.69377871666227</v>
      </c>
      <c r="M475" s="5">
        <f t="shared" si="51"/>
        <v>19.4964741641337</v>
      </c>
      <c r="N475" s="7">
        <f t="shared" si="52"/>
        <v>2.51826532425783</v>
      </c>
      <c r="O475" s="5">
        <f t="shared" si="53"/>
        <v>9738.67</v>
      </c>
      <c r="P475" s="8">
        <f t="shared" si="54"/>
        <v>60.2901254936386</v>
      </c>
      <c r="Q475" s="3" t="str">
        <f t="shared" si="55"/>
        <v>2025-05</v>
      </c>
    </row>
    <row r="476" customHeight="1" spans="1:17">
      <c r="A476" s="3" t="str">
        <f>Raw_Data!A476</f>
        <v>C0349</v>
      </c>
      <c r="B476" s="4">
        <f>Raw_Data!B476</f>
        <v>45807</v>
      </c>
      <c r="C476" s="3" t="str">
        <f>Raw_Data!C476</f>
        <v>Facebook</v>
      </c>
      <c r="D476" s="3" t="str">
        <f>Raw_Data!D476</f>
        <v>East</v>
      </c>
      <c r="E476" s="5">
        <f>Raw_Data!E476</f>
        <v>9201.84</v>
      </c>
      <c r="F476" s="5">
        <f>Raw_Data!F476</f>
        <v>9061.59</v>
      </c>
      <c r="G476" s="3">
        <f>Raw_Data!G476</f>
        <v>66208</v>
      </c>
      <c r="H476" s="3">
        <f>Raw_Data!H476</f>
        <v>2170</v>
      </c>
      <c r="I476" s="3">
        <f>Raw_Data!I476</f>
        <v>345</v>
      </c>
      <c r="J476" s="5">
        <f>Raw_Data!J476</f>
        <v>9311.13</v>
      </c>
      <c r="K476" s="6">
        <f t="shared" si="49"/>
        <v>0.0327754954084099</v>
      </c>
      <c r="L476" s="5">
        <f t="shared" si="50"/>
        <v>4.17584792626728</v>
      </c>
      <c r="M476" s="5">
        <f t="shared" si="51"/>
        <v>26.2654782608696</v>
      </c>
      <c r="N476" s="7">
        <f t="shared" si="52"/>
        <v>1.02753821349233</v>
      </c>
      <c r="O476" s="5">
        <f t="shared" si="53"/>
        <v>249.539999999999</v>
      </c>
      <c r="P476" s="8">
        <f t="shared" si="54"/>
        <v>2.68001842955687</v>
      </c>
      <c r="Q476" s="3" t="str">
        <f t="shared" si="55"/>
        <v>2025-05</v>
      </c>
    </row>
    <row r="477" customHeight="1" spans="1:17">
      <c r="A477" s="3" t="str">
        <f>Raw_Data!A477</f>
        <v>C0138</v>
      </c>
      <c r="B477" s="4">
        <f>Raw_Data!B477</f>
        <v>45808</v>
      </c>
      <c r="C477" s="3" t="str">
        <f>Raw_Data!C477</f>
        <v>Instagram</v>
      </c>
      <c r="D477" s="3" t="str">
        <f>Raw_Data!D477</f>
        <v>North</v>
      </c>
      <c r="E477" s="5">
        <f>Raw_Data!E477</f>
        <v>9650.43</v>
      </c>
      <c r="F477" s="5">
        <f>Raw_Data!F477</f>
        <v>10472.47</v>
      </c>
      <c r="G477" s="3">
        <f>Raw_Data!G477</f>
        <v>137121</v>
      </c>
      <c r="H477" s="3">
        <f>Raw_Data!H477</f>
        <v>1770</v>
      </c>
      <c r="I477" s="3">
        <f>Raw_Data!I477</f>
        <v>271</v>
      </c>
      <c r="J477" s="5">
        <f>Raw_Data!J477</f>
        <v>10082.05</v>
      </c>
      <c r="K477" s="6">
        <f t="shared" si="49"/>
        <v>0.0129083072614698</v>
      </c>
      <c r="L477" s="5">
        <f t="shared" si="50"/>
        <v>5.91664971751412</v>
      </c>
      <c r="M477" s="5">
        <f t="shared" si="51"/>
        <v>38.6438007380074</v>
      </c>
      <c r="N477" s="7">
        <f t="shared" si="52"/>
        <v>0.962719396665734</v>
      </c>
      <c r="O477" s="5">
        <f t="shared" si="53"/>
        <v>-390.42</v>
      </c>
      <c r="P477" s="8">
        <f t="shared" si="54"/>
        <v>-3.87242673860971</v>
      </c>
      <c r="Q477" s="3" t="str">
        <f t="shared" si="55"/>
        <v>2025-05</v>
      </c>
    </row>
    <row r="478" customHeight="1" spans="1:17">
      <c r="A478" s="3" t="str">
        <f>Raw_Data!A478</f>
        <v>C0029</v>
      </c>
      <c r="B478" s="4">
        <f>Raw_Data!B478</f>
        <v>45809</v>
      </c>
      <c r="C478" s="3" t="str">
        <f>Raw_Data!C478</f>
        <v>LinkedIn</v>
      </c>
      <c r="D478" s="3" t="str">
        <f>Raw_Data!D478</f>
        <v>West</v>
      </c>
      <c r="E478" s="5">
        <f>Raw_Data!E478</f>
        <v>5176.88</v>
      </c>
      <c r="F478" s="5">
        <f>Raw_Data!F478</f>
        <v>4646.53</v>
      </c>
      <c r="G478" s="3">
        <f>Raw_Data!G478</f>
        <v>81620</v>
      </c>
      <c r="H478" s="3">
        <f>Raw_Data!H478</f>
        <v>3629</v>
      </c>
      <c r="I478" s="3">
        <f>Raw_Data!I478</f>
        <v>513</v>
      </c>
      <c r="J478" s="5">
        <f>Raw_Data!J478</f>
        <v>21488.64</v>
      </c>
      <c r="K478" s="6">
        <f t="shared" si="49"/>
        <v>0.044462141631953</v>
      </c>
      <c r="L478" s="5">
        <f t="shared" si="50"/>
        <v>1.28038853678699</v>
      </c>
      <c r="M478" s="5">
        <f t="shared" si="51"/>
        <v>9.05756335282651</v>
      </c>
      <c r="N478" s="7">
        <f t="shared" si="52"/>
        <v>4.62466399657379</v>
      </c>
      <c r="O478" s="5">
        <f t="shared" si="53"/>
        <v>16842.11</v>
      </c>
      <c r="P478" s="8">
        <f t="shared" si="54"/>
        <v>78.3768074666428</v>
      </c>
      <c r="Q478" s="3" t="str">
        <f t="shared" si="55"/>
        <v>2025-06</v>
      </c>
    </row>
    <row r="479" customHeight="1" spans="1:17">
      <c r="A479" s="3" t="str">
        <f>Raw_Data!A479</f>
        <v>C0028</v>
      </c>
      <c r="B479" s="4">
        <f>Raw_Data!B479</f>
        <v>45809</v>
      </c>
      <c r="C479" s="3" t="str">
        <f>Raw_Data!C479</f>
        <v>Facebook</v>
      </c>
      <c r="D479" s="3" t="str">
        <f>Raw_Data!D479</f>
        <v>East</v>
      </c>
      <c r="E479" s="5">
        <f>Raw_Data!E479</f>
        <v>7363.09</v>
      </c>
      <c r="F479" s="5">
        <f>Raw_Data!F479</f>
        <v>6621.4</v>
      </c>
      <c r="G479" s="3">
        <f>Raw_Data!G479</f>
        <v>144942</v>
      </c>
      <c r="H479" s="3">
        <f>Raw_Data!H479</f>
        <v>5511</v>
      </c>
      <c r="I479" s="3">
        <f>Raw_Data!I479</f>
        <v>222</v>
      </c>
      <c r="J479" s="5">
        <f>Raw_Data!J479</f>
        <v>4863.3</v>
      </c>
      <c r="K479" s="6">
        <f t="shared" si="49"/>
        <v>0.0380221053938817</v>
      </c>
      <c r="L479" s="5">
        <f t="shared" si="50"/>
        <v>1.20148793322446</v>
      </c>
      <c r="M479" s="5">
        <f t="shared" si="51"/>
        <v>29.8261261261261</v>
      </c>
      <c r="N479" s="7">
        <f t="shared" si="52"/>
        <v>0.73448213368774</v>
      </c>
      <c r="O479" s="5">
        <f t="shared" si="53"/>
        <v>-1758.1</v>
      </c>
      <c r="P479" s="8">
        <f t="shared" si="54"/>
        <v>-36.1503505849937</v>
      </c>
      <c r="Q479" s="3" t="str">
        <f t="shared" si="55"/>
        <v>2025-06</v>
      </c>
    </row>
    <row r="480" customHeight="1" spans="1:17">
      <c r="A480" s="3" t="str">
        <f>Raw_Data!A480</f>
        <v>C0310</v>
      </c>
      <c r="B480" s="4">
        <f>Raw_Data!B480</f>
        <v>45810</v>
      </c>
      <c r="C480" s="3" t="str">
        <f>Raw_Data!C480</f>
        <v>LinkedIn</v>
      </c>
      <c r="D480" s="3" t="str">
        <f>Raw_Data!D480</f>
        <v>North</v>
      </c>
      <c r="E480" s="5">
        <f>Raw_Data!E480</f>
        <v>6791.44</v>
      </c>
      <c r="F480" s="5">
        <f>Raw_Data!F480</f>
        <v>6723.82</v>
      </c>
      <c r="G480" s="3">
        <f>Raw_Data!G480</f>
        <v>175493</v>
      </c>
      <c r="H480" s="3">
        <f>Raw_Data!H480</f>
        <v>7200</v>
      </c>
      <c r="I480" s="3">
        <f>Raw_Data!I480</f>
        <v>476</v>
      </c>
      <c r="J480" s="5">
        <f>Raw_Data!J480</f>
        <v>13202.64</v>
      </c>
      <c r="K480" s="6">
        <f t="shared" si="49"/>
        <v>0.0410272774412655</v>
      </c>
      <c r="L480" s="5">
        <f t="shared" si="50"/>
        <v>0.933863888888889</v>
      </c>
      <c r="M480" s="5">
        <f t="shared" si="51"/>
        <v>14.1256722689076</v>
      </c>
      <c r="N480" s="7">
        <f t="shared" si="52"/>
        <v>1.96356237971867</v>
      </c>
      <c r="O480" s="5">
        <f t="shared" si="53"/>
        <v>6478.82</v>
      </c>
      <c r="P480" s="8">
        <f t="shared" si="54"/>
        <v>49.0721552659165</v>
      </c>
      <c r="Q480" s="3" t="str">
        <f t="shared" si="55"/>
        <v>2025-06</v>
      </c>
    </row>
    <row r="481" customHeight="1" spans="1:17">
      <c r="A481" s="3" t="str">
        <f>Raw_Data!A481</f>
        <v>C0110</v>
      </c>
      <c r="B481" s="4">
        <f>Raw_Data!B481</f>
        <v>45810</v>
      </c>
      <c r="C481" s="3" t="str">
        <f>Raw_Data!C481</f>
        <v>Twitter</v>
      </c>
      <c r="D481" s="3" t="str">
        <f>Raw_Data!D481</f>
        <v>East</v>
      </c>
      <c r="E481" s="5">
        <f>Raw_Data!E481</f>
        <v>7282.05</v>
      </c>
      <c r="F481" s="5">
        <f>Raw_Data!F481</f>
        <v>6742.3</v>
      </c>
      <c r="G481" s="3">
        <f>Raw_Data!G481</f>
        <v>186329</v>
      </c>
      <c r="H481" s="3">
        <f>Raw_Data!H481</f>
        <v>2426</v>
      </c>
      <c r="I481" s="3">
        <f>Raw_Data!I481</f>
        <v>475</v>
      </c>
      <c r="J481" s="5">
        <f>Raw_Data!J481</f>
        <v>13030.17</v>
      </c>
      <c r="K481" s="6">
        <f t="shared" si="49"/>
        <v>0.013019980786673</v>
      </c>
      <c r="L481" s="5">
        <f t="shared" si="50"/>
        <v>2.77918384171476</v>
      </c>
      <c r="M481" s="5">
        <f t="shared" si="51"/>
        <v>14.1943157894737</v>
      </c>
      <c r="N481" s="7">
        <f t="shared" si="52"/>
        <v>1.93260015128369</v>
      </c>
      <c r="O481" s="5">
        <f t="shared" si="53"/>
        <v>6287.87</v>
      </c>
      <c r="P481" s="8">
        <f t="shared" si="54"/>
        <v>48.2562391741627</v>
      </c>
      <c r="Q481" s="3" t="str">
        <f t="shared" si="55"/>
        <v>2025-06</v>
      </c>
    </row>
    <row r="482" customHeight="1" spans="1:17">
      <c r="A482" s="3" t="str">
        <f>Raw_Data!A482</f>
        <v>C0023</v>
      </c>
      <c r="B482" s="4">
        <f>Raw_Data!B482</f>
        <v>45810</v>
      </c>
      <c r="C482" s="3" t="str">
        <f>Raw_Data!C482</f>
        <v>Facebook</v>
      </c>
      <c r="D482" s="3" t="str">
        <f>Raw_Data!D482</f>
        <v>West</v>
      </c>
      <c r="E482" s="5">
        <f>Raw_Data!E482</f>
        <v>3986.47</v>
      </c>
      <c r="F482" s="5">
        <f>Raw_Data!F482</f>
        <v>4148.56</v>
      </c>
      <c r="G482" s="3">
        <f>Raw_Data!G482</f>
        <v>138676</v>
      </c>
      <c r="H482" s="3">
        <f>Raw_Data!H482</f>
        <v>4683</v>
      </c>
      <c r="I482" s="3">
        <f>Raw_Data!I482</f>
        <v>91</v>
      </c>
      <c r="J482" s="5">
        <f>Raw_Data!J482</f>
        <v>2023.52</v>
      </c>
      <c r="K482" s="6">
        <f t="shared" si="49"/>
        <v>0.0337693616775794</v>
      </c>
      <c r="L482" s="5">
        <f t="shared" si="50"/>
        <v>0.885876574845185</v>
      </c>
      <c r="M482" s="5">
        <f t="shared" si="51"/>
        <v>45.5885714285714</v>
      </c>
      <c r="N482" s="7">
        <f t="shared" si="52"/>
        <v>0.48776442910311</v>
      </c>
      <c r="O482" s="5">
        <f t="shared" si="53"/>
        <v>-2125.04</v>
      </c>
      <c r="P482" s="8">
        <f t="shared" si="54"/>
        <v>-105.01700007907</v>
      </c>
      <c r="Q482" s="3" t="str">
        <f t="shared" si="55"/>
        <v>2025-06</v>
      </c>
    </row>
    <row r="483" customHeight="1" spans="1:17">
      <c r="A483" s="3" t="str">
        <f>Raw_Data!A483</f>
        <v>C0437</v>
      </c>
      <c r="B483" s="4">
        <f>Raw_Data!B483</f>
        <v>45811</v>
      </c>
      <c r="C483" s="3" t="str">
        <f>Raw_Data!C483</f>
        <v>Twitter</v>
      </c>
      <c r="D483" s="3" t="str">
        <f>Raw_Data!D483</f>
        <v>South</v>
      </c>
      <c r="E483" s="5">
        <f>Raw_Data!E483</f>
        <v>5376.15</v>
      </c>
      <c r="F483" s="5">
        <f>Raw_Data!F483</f>
        <v>5615.11</v>
      </c>
      <c r="G483" s="3">
        <f>Raw_Data!G483</f>
        <v>161295</v>
      </c>
      <c r="H483" s="3">
        <f>Raw_Data!H483</f>
        <v>7131</v>
      </c>
      <c r="I483" s="3">
        <f>Raw_Data!I483</f>
        <v>124</v>
      </c>
      <c r="J483" s="5">
        <f>Raw_Data!J483</f>
        <v>2778.03</v>
      </c>
      <c r="K483" s="6">
        <f t="shared" si="49"/>
        <v>0.0442109178833814</v>
      </c>
      <c r="L483" s="5">
        <f t="shared" si="50"/>
        <v>0.7874225213855</v>
      </c>
      <c r="M483" s="5">
        <f t="shared" si="51"/>
        <v>45.2831451612903</v>
      </c>
      <c r="N483" s="7">
        <f t="shared" si="52"/>
        <v>0.494741866143317</v>
      </c>
      <c r="O483" s="5">
        <f t="shared" si="53"/>
        <v>-2837.08</v>
      </c>
      <c r="P483" s="8">
        <f t="shared" si="54"/>
        <v>-102.125606994885</v>
      </c>
      <c r="Q483" s="3" t="str">
        <f t="shared" si="55"/>
        <v>2025-06</v>
      </c>
    </row>
    <row r="484" customHeight="1" spans="1:17">
      <c r="A484" s="3" t="str">
        <f>Raw_Data!A484</f>
        <v>C0469</v>
      </c>
      <c r="B484" s="4">
        <f>Raw_Data!B484</f>
        <v>45811</v>
      </c>
      <c r="C484" s="3" t="str">
        <f>Raw_Data!C484</f>
        <v>Google Ads</v>
      </c>
      <c r="D484" s="3" t="str">
        <f>Raw_Data!D484</f>
        <v>South</v>
      </c>
      <c r="E484" s="5">
        <f>Raw_Data!E484</f>
        <v>7646.63</v>
      </c>
      <c r="F484" s="5">
        <f>Raw_Data!F484</f>
        <v>7206.1</v>
      </c>
      <c r="G484" s="3">
        <f>Raw_Data!G484</f>
        <v>102196</v>
      </c>
      <c r="H484" s="3">
        <f>Raw_Data!H484</f>
        <v>4290</v>
      </c>
      <c r="I484" s="3">
        <f>Raw_Data!I484</f>
        <v>391</v>
      </c>
      <c r="J484" s="5">
        <f>Raw_Data!J484</f>
        <v>17722.12</v>
      </c>
      <c r="K484" s="6">
        <f t="shared" si="49"/>
        <v>0.0419781596148577</v>
      </c>
      <c r="L484" s="5">
        <f t="shared" si="50"/>
        <v>1.67974358974359</v>
      </c>
      <c r="M484" s="5">
        <f t="shared" si="51"/>
        <v>18.4299232736573</v>
      </c>
      <c r="N484" s="7">
        <f t="shared" si="52"/>
        <v>2.45932196333662</v>
      </c>
      <c r="O484" s="5">
        <f t="shared" si="53"/>
        <v>10516.02</v>
      </c>
      <c r="P484" s="8">
        <f t="shared" si="54"/>
        <v>59.3383861524468</v>
      </c>
      <c r="Q484" s="3" t="str">
        <f t="shared" si="55"/>
        <v>2025-06</v>
      </c>
    </row>
    <row r="485" customHeight="1" spans="1:17">
      <c r="A485" s="3" t="str">
        <f>Raw_Data!A485</f>
        <v>C0278</v>
      </c>
      <c r="B485" s="4">
        <f>Raw_Data!B485</f>
        <v>45812</v>
      </c>
      <c r="C485" s="3" t="str">
        <f>Raw_Data!C485</f>
        <v>LinkedIn</v>
      </c>
      <c r="D485" s="3" t="str">
        <f>Raw_Data!D485</f>
        <v>East</v>
      </c>
      <c r="E485" s="5">
        <f>Raw_Data!E485</f>
        <v>6167.08</v>
      </c>
      <c r="F485" s="5">
        <f>Raw_Data!F485</f>
        <v>5194.27</v>
      </c>
      <c r="G485" s="3">
        <f>Raw_Data!G485</f>
        <v>105961</v>
      </c>
      <c r="H485" s="3">
        <f>Raw_Data!H485</f>
        <v>4343</v>
      </c>
      <c r="I485" s="3">
        <f>Raw_Data!I485</f>
        <v>558</v>
      </c>
      <c r="J485" s="5">
        <f>Raw_Data!J485</f>
        <v>14112.72</v>
      </c>
      <c r="K485" s="6">
        <f t="shared" si="49"/>
        <v>0.0409867781542266</v>
      </c>
      <c r="L485" s="5">
        <f t="shared" si="50"/>
        <v>1.19600967073452</v>
      </c>
      <c r="M485" s="5">
        <f t="shared" si="51"/>
        <v>9.30872759856631</v>
      </c>
      <c r="N485" s="7">
        <f t="shared" si="52"/>
        <v>2.71697851671168</v>
      </c>
      <c r="O485" s="5">
        <f t="shared" si="53"/>
        <v>8918.45</v>
      </c>
      <c r="P485" s="8">
        <f t="shared" si="54"/>
        <v>63.194409015413</v>
      </c>
      <c r="Q485" s="3" t="str">
        <f t="shared" si="55"/>
        <v>2025-06</v>
      </c>
    </row>
    <row r="486" customHeight="1" spans="1:17">
      <c r="A486" s="3" t="str">
        <f>Raw_Data!A486</f>
        <v>C0096</v>
      </c>
      <c r="B486" s="4">
        <f>Raw_Data!B486</f>
        <v>45813</v>
      </c>
      <c r="C486" s="3" t="str">
        <f>Raw_Data!C486</f>
        <v>Facebook</v>
      </c>
      <c r="D486" s="3" t="str">
        <f>Raw_Data!D486</f>
        <v>North</v>
      </c>
      <c r="E486" s="5">
        <f>Raw_Data!E486</f>
        <v>3251.6</v>
      </c>
      <c r="F486" s="5">
        <f>Raw_Data!F486</f>
        <v>3055.46</v>
      </c>
      <c r="G486" s="3">
        <f>Raw_Data!G486</f>
        <v>115973</v>
      </c>
      <c r="H486" s="3">
        <f>Raw_Data!H486</f>
        <v>4194</v>
      </c>
      <c r="I486" s="3">
        <f>Raw_Data!I486</f>
        <v>366</v>
      </c>
      <c r="J486" s="5">
        <f>Raw_Data!J486</f>
        <v>13278.24</v>
      </c>
      <c r="K486" s="6">
        <f t="shared" si="49"/>
        <v>0.0361635898010744</v>
      </c>
      <c r="L486" s="5">
        <f t="shared" si="50"/>
        <v>0.728531235097759</v>
      </c>
      <c r="M486" s="5">
        <f t="shared" si="51"/>
        <v>8.34825136612022</v>
      </c>
      <c r="N486" s="7">
        <f t="shared" si="52"/>
        <v>4.34574172137747</v>
      </c>
      <c r="O486" s="5">
        <f t="shared" si="53"/>
        <v>10222.78</v>
      </c>
      <c r="P486" s="8">
        <f t="shared" si="54"/>
        <v>76.9889684175011</v>
      </c>
      <c r="Q486" s="3" t="str">
        <f t="shared" si="55"/>
        <v>2025-06</v>
      </c>
    </row>
    <row r="487" customHeight="1" spans="1:17">
      <c r="A487" s="3" t="str">
        <f>Raw_Data!A487</f>
        <v>C0296</v>
      </c>
      <c r="B487" s="4">
        <f>Raw_Data!B487</f>
        <v>45814</v>
      </c>
      <c r="C487" s="3" t="str">
        <f>Raw_Data!C487</f>
        <v>Facebook</v>
      </c>
      <c r="D487" s="3" t="str">
        <f>Raw_Data!D487</f>
        <v>North</v>
      </c>
      <c r="E487" s="5">
        <f>Raw_Data!E487</f>
        <v>4249.81</v>
      </c>
      <c r="F487" s="5">
        <f>Raw_Data!F487</f>
        <v>4232.06</v>
      </c>
      <c r="G487" s="3">
        <f>Raw_Data!G487</f>
        <v>134964</v>
      </c>
      <c r="H487" s="3">
        <f>Raw_Data!H487</f>
        <v>2504</v>
      </c>
      <c r="I487" s="3">
        <f>Raw_Data!I487</f>
        <v>293</v>
      </c>
      <c r="J487" s="5">
        <f>Raw_Data!J487</f>
        <v>7953.63</v>
      </c>
      <c r="K487" s="6">
        <f t="shared" si="49"/>
        <v>0.0185530956403189</v>
      </c>
      <c r="L487" s="5">
        <f t="shared" si="50"/>
        <v>1.69011980830671</v>
      </c>
      <c r="M487" s="5">
        <f t="shared" si="51"/>
        <v>14.4438907849829</v>
      </c>
      <c r="N487" s="7">
        <f t="shared" si="52"/>
        <v>1.87937552870233</v>
      </c>
      <c r="O487" s="5">
        <f t="shared" si="53"/>
        <v>3721.57</v>
      </c>
      <c r="P487" s="8">
        <f t="shared" si="54"/>
        <v>46.7908363853989</v>
      </c>
      <c r="Q487" s="3" t="str">
        <f t="shared" si="55"/>
        <v>2025-06</v>
      </c>
    </row>
    <row r="488" customHeight="1" spans="1:17">
      <c r="A488" s="3" t="str">
        <f>Raw_Data!A488</f>
        <v>C0021</v>
      </c>
      <c r="B488" s="4">
        <f>Raw_Data!B488</f>
        <v>45814</v>
      </c>
      <c r="C488" s="3" t="str">
        <f>Raw_Data!C488</f>
        <v>Google Ads</v>
      </c>
      <c r="D488" s="3" t="str">
        <f>Raw_Data!D488</f>
        <v>East</v>
      </c>
      <c r="E488" s="5">
        <f>Raw_Data!E488</f>
        <v>5720.74</v>
      </c>
      <c r="F488" s="5">
        <f>Raw_Data!F488</f>
        <v>5042.29</v>
      </c>
      <c r="G488" s="3">
        <f>Raw_Data!G488</f>
        <v>128160</v>
      </c>
      <c r="H488" s="3">
        <f>Raw_Data!H488</f>
        <v>1491</v>
      </c>
      <c r="I488" s="3">
        <f>Raw_Data!I488</f>
        <v>279</v>
      </c>
      <c r="J488" s="5">
        <f>Raw_Data!J488</f>
        <v>12516.53</v>
      </c>
      <c r="K488" s="6">
        <f t="shared" si="49"/>
        <v>0.0116338951310861</v>
      </c>
      <c r="L488" s="5">
        <f t="shared" si="50"/>
        <v>3.38181757209926</v>
      </c>
      <c r="M488" s="5">
        <f t="shared" si="51"/>
        <v>18.0727240143369</v>
      </c>
      <c r="N488" s="7">
        <f t="shared" si="52"/>
        <v>2.48231061680308</v>
      </c>
      <c r="O488" s="5">
        <f t="shared" si="53"/>
        <v>7474.24</v>
      </c>
      <c r="P488" s="8">
        <f t="shared" si="54"/>
        <v>59.7149529462239</v>
      </c>
      <c r="Q488" s="3" t="str">
        <f t="shared" si="55"/>
        <v>2025-06</v>
      </c>
    </row>
    <row r="489" customHeight="1" spans="1:17">
      <c r="A489" s="3" t="str">
        <f>Raw_Data!A489</f>
        <v>C0287</v>
      </c>
      <c r="B489" s="4">
        <f>Raw_Data!B489</f>
        <v>45814</v>
      </c>
      <c r="C489" s="3" t="str">
        <f>Raw_Data!C489</f>
        <v>Facebook</v>
      </c>
      <c r="D489" s="3" t="str">
        <f>Raw_Data!D489</f>
        <v>South</v>
      </c>
      <c r="E489" s="5">
        <f>Raw_Data!E489</f>
        <v>6953.89</v>
      </c>
      <c r="F489" s="5">
        <f>Raw_Data!F489</f>
        <v>5700.19</v>
      </c>
      <c r="G489" s="3">
        <f>Raw_Data!G489</f>
        <v>65823</v>
      </c>
      <c r="H489" s="3">
        <f>Raw_Data!H489</f>
        <v>1049</v>
      </c>
      <c r="I489" s="3">
        <f>Raw_Data!I489</f>
        <v>73</v>
      </c>
      <c r="J489" s="5">
        <f>Raw_Data!J489</f>
        <v>3158.41</v>
      </c>
      <c r="K489" s="6">
        <f t="shared" si="49"/>
        <v>0.0159366786685505</v>
      </c>
      <c r="L489" s="5">
        <f t="shared" si="50"/>
        <v>5.43392755004766</v>
      </c>
      <c r="M489" s="5">
        <f t="shared" si="51"/>
        <v>78.0847945205479</v>
      </c>
      <c r="N489" s="7">
        <f t="shared" si="52"/>
        <v>0.554088547925595</v>
      </c>
      <c r="O489" s="5">
        <f t="shared" si="53"/>
        <v>-2541.78</v>
      </c>
      <c r="P489" s="8">
        <f t="shared" si="54"/>
        <v>-80.4765689065068</v>
      </c>
      <c r="Q489" s="3" t="str">
        <f t="shared" si="55"/>
        <v>2025-06</v>
      </c>
    </row>
    <row r="490" customHeight="1" spans="1:17">
      <c r="A490" s="3" t="str">
        <f>Raw_Data!A490</f>
        <v>C0156</v>
      </c>
      <c r="B490" s="4">
        <f>Raw_Data!B490</f>
        <v>45814</v>
      </c>
      <c r="C490" s="3" t="str">
        <f>Raw_Data!C490</f>
        <v>Google Ads</v>
      </c>
      <c r="D490" s="3" t="str">
        <f>Raw_Data!D490</f>
        <v>East</v>
      </c>
      <c r="E490" s="5">
        <f>Raw_Data!E490</f>
        <v>5624.09</v>
      </c>
      <c r="F490" s="5">
        <f>Raw_Data!F490</f>
        <v>4981.33</v>
      </c>
      <c r="G490" s="3">
        <f>Raw_Data!G490</f>
        <v>181387</v>
      </c>
      <c r="H490" s="3">
        <f>Raw_Data!H490</f>
        <v>7602</v>
      </c>
      <c r="I490" s="3">
        <f>Raw_Data!I490</f>
        <v>1490</v>
      </c>
      <c r="J490" s="5">
        <f>Raw_Data!J490</f>
        <v>68626.38</v>
      </c>
      <c r="K490" s="6">
        <f t="shared" si="49"/>
        <v>0.0419103904910495</v>
      </c>
      <c r="L490" s="5">
        <f t="shared" si="50"/>
        <v>0.655265719547487</v>
      </c>
      <c r="M490" s="5">
        <f t="shared" si="51"/>
        <v>3.3431744966443</v>
      </c>
      <c r="N490" s="7">
        <f t="shared" si="52"/>
        <v>13.7767182660053</v>
      </c>
      <c r="O490" s="5">
        <f t="shared" si="53"/>
        <v>63645.05</v>
      </c>
      <c r="P490" s="8">
        <f t="shared" si="54"/>
        <v>92.7413772954365</v>
      </c>
      <c r="Q490" s="3" t="str">
        <f t="shared" si="55"/>
        <v>2025-06</v>
      </c>
    </row>
    <row r="491" customHeight="1" spans="1:17">
      <c r="A491" s="3" t="str">
        <f>Raw_Data!A491</f>
        <v>C0124</v>
      </c>
      <c r="B491" s="4">
        <f>Raw_Data!B491</f>
        <v>45814</v>
      </c>
      <c r="C491" s="3" t="str">
        <f>Raw_Data!C491</f>
        <v>Twitter</v>
      </c>
      <c r="D491" s="3" t="str">
        <f>Raw_Data!D491</f>
        <v>East</v>
      </c>
      <c r="E491" s="5">
        <f>Raw_Data!E491</f>
        <v>3485.53</v>
      </c>
      <c r="F491" s="5">
        <f>Raw_Data!F491</f>
        <v>2893.8</v>
      </c>
      <c r="G491" s="3">
        <f>Raw_Data!G491</f>
        <v>66013</v>
      </c>
      <c r="H491" s="3">
        <f>Raw_Data!H491</f>
        <v>1830</v>
      </c>
      <c r="I491" s="3">
        <f>Raw_Data!I491</f>
        <v>275</v>
      </c>
      <c r="J491" s="5">
        <f>Raw_Data!J491</f>
        <v>5650.33</v>
      </c>
      <c r="K491" s="6">
        <f t="shared" si="49"/>
        <v>0.0277218123702907</v>
      </c>
      <c r="L491" s="5">
        <f t="shared" si="50"/>
        <v>1.58131147540984</v>
      </c>
      <c r="M491" s="5">
        <f t="shared" si="51"/>
        <v>10.5229090909091</v>
      </c>
      <c r="N491" s="7">
        <f t="shared" si="52"/>
        <v>1.9525641025641</v>
      </c>
      <c r="O491" s="5">
        <f t="shared" si="53"/>
        <v>2756.53</v>
      </c>
      <c r="P491" s="8">
        <f t="shared" si="54"/>
        <v>48.7852921864741</v>
      </c>
      <c r="Q491" s="3" t="str">
        <f t="shared" si="55"/>
        <v>2025-06</v>
      </c>
    </row>
    <row r="492" customHeight="1" spans="1:17">
      <c r="A492" s="3" t="str">
        <f>Raw_Data!A492</f>
        <v>C0390</v>
      </c>
      <c r="B492" s="4">
        <f>Raw_Data!B492</f>
        <v>45815</v>
      </c>
      <c r="C492" s="3" t="str">
        <f>Raw_Data!C492</f>
        <v>Twitter</v>
      </c>
      <c r="D492" s="3" t="str">
        <f>Raw_Data!D492</f>
        <v>West</v>
      </c>
      <c r="E492" s="5">
        <f>Raw_Data!E492</f>
        <v>6552.27</v>
      </c>
      <c r="F492" s="5">
        <f>Raw_Data!F492</f>
        <v>5254.37</v>
      </c>
      <c r="G492" s="3">
        <f>Raw_Data!G492</f>
        <v>68519</v>
      </c>
      <c r="H492" s="3">
        <f>Raw_Data!H492</f>
        <v>3190</v>
      </c>
      <c r="I492" s="3">
        <f>Raw_Data!I492</f>
        <v>282</v>
      </c>
      <c r="J492" s="5">
        <f>Raw_Data!J492</f>
        <v>8068.34</v>
      </c>
      <c r="K492" s="6">
        <f t="shared" si="49"/>
        <v>0.0465564296034677</v>
      </c>
      <c r="L492" s="5">
        <f t="shared" si="50"/>
        <v>1.64713793103448</v>
      </c>
      <c r="M492" s="5">
        <f t="shared" si="51"/>
        <v>18.6325177304965</v>
      </c>
      <c r="N492" s="7">
        <f t="shared" si="52"/>
        <v>1.53554850533937</v>
      </c>
      <c r="O492" s="5">
        <f t="shared" si="53"/>
        <v>2813.97</v>
      </c>
      <c r="P492" s="8">
        <f t="shared" si="54"/>
        <v>34.8766908682579</v>
      </c>
      <c r="Q492" s="3" t="str">
        <f t="shared" si="55"/>
        <v>2025-06</v>
      </c>
    </row>
    <row r="493" customHeight="1" spans="1:17">
      <c r="A493" s="3" t="str">
        <f>Raw_Data!A493</f>
        <v>C0383</v>
      </c>
      <c r="B493" s="4">
        <f>Raw_Data!B493</f>
        <v>45815</v>
      </c>
      <c r="C493" s="3" t="str">
        <f>Raw_Data!C493</f>
        <v>LinkedIn</v>
      </c>
      <c r="D493" s="3" t="str">
        <f>Raw_Data!D493</f>
        <v>West</v>
      </c>
      <c r="E493" s="5">
        <f>Raw_Data!E493</f>
        <v>8581.98</v>
      </c>
      <c r="F493" s="5">
        <f>Raw_Data!F493</f>
        <v>8560.83</v>
      </c>
      <c r="G493" s="3">
        <f>Raw_Data!G493</f>
        <v>125026</v>
      </c>
      <c r="H493" s="3">
        <f>Raw_Data!H493</f>
        <v>4106</v>
      </c>
      <c r="I493" s="3">
        <f>Raw_Data!I493</f>
        <v>468</v>
      </c>
      <c r="J493" s="5">
        <f>Raw_Data!J493</f>
        <v>21302.17</v>
      </c>
      <c r="K493" s="6">
        <f t="shared" si="49"/>
        <v>0.0328411690368403</v>
      </c>
      <c r="L493" s="5">
        <f t="shared" si="50"/>
        <v>2.08495616171456</v>
      </c>
      <c r="M493" s="5">
        <f t="shared" si="51"/>
        <v>18.2923717948718</v>
      </c>
      <c r="N493" s="7">
        <f t="shared" si="52"/>
        <v>2.48832998669521</v>
      </c>
      <c r="O493" s="5">
        <f t="shared" si="53"/>
        <v>12741.34</v>
      </c>
      <c r="P493" s="8">
        <f t="shared" si="54"/>
        <v>59.8124040884098</v>
      </c>
      <c r="Q493" s="3" t="str">
        <f t="shared" si="55"/>
        <v>2025-06</v>
      </c>
    </row>
    <row r="494" customHeight="1" spans="1:17">
      <c r="A494" s="3" t="str">
        <f>Raw_Data!A494</f>
        <v>C0202</v>
      </c>
      <c r="B494" s="4">
        <f>Raw_Data!B494</f>
        <v>45816</v>
      </c>
      <c r="C494" s="3" t="str">
        <f>Raw_Data!C494</f>
        <v>Twitter</v>
      </c>
      <c r="D494" s="3" t="str">
        <f>Raw_Data!D494</f>
        <v>South</v>
      </c>
      <c r="E494" s="5">
        <f>Raw_Data!E494</f>
        <v>3620.92</v>
      </c>
      <c r="F494" s="5">
        <f>Raw_Data!F494</f>
        <v>3027.78</v>
      </c>
      <c r="G494" s="3">
        <f>Raw_Data!G494</f>
        <v>95400</v>
      </c>
      <c r="H494" s="3">
        <f>Raw_Data!H494</f>
        <v>1371</v>
      </c>
      <c r="I494" s="3">
        <f>Raw_Data!I494</f>
        <v>250</v>
      </c>
      <c r="J494" s="5">
        <f>Raw_Data!J494</f>
        <v>8455.84</v>
      </c>
      <c r="K494" s="6">
        <f t="shared" si="49"/>
        <v>0.0143710691823899</v>
      </c>
      <c r="L494" s="5">
        <f t="shared" si="50"/>
        <v>2.20844638949672</v>
      </c>
      <c r="M494" s="5">
        <f t="shared" si="51"/>
        <v>12.11112</v>
      </c>
      <c r="N494" s="7">
        <f t="shared" si="52"/>
        <v>2.79275244568628</v>
      </c>
      <c r="O494" s="5">
        <f t="shared" si="53"/>
        <v>5428.06</v>
      </c>
      <c r="P494" s="8">
        <f t="shared" si="54"/>
        <v>64.1930310885731</v>
      </c>
      <c r="Q494" s="3" t="str">
        <f t="shared" si="55"/>
        <v>2025-06</v>
      </c>
    </row>
    <row r="495" customHeight="1" spans="1:17">
      <c r="A495" s="3" t="str">
        <f>Raw_Data!A495</f>
        <v>C0171</v>
      </c>
      <c r="B495" s="4">
        <f>Raw_Data!B495</f>
        <v>45816</v>
      </c>
      <c r="C495" s="3" t="str">
        <f>Raw_Data!C495</f>
        <v>Facebook</v>
      </c>
      <c r="D495" s="3" t="str">
        <f>Raw_Data!D495</f>
        <v>East</v>
      </c>
      <c r="E495" s="5">
        <f>Raw_Data!E495</f>
        <v>7293.91</v>
      </c>
      <c r="F495" s="5">
        <f>Raw_Data!F495</f>
        <v>6750.32</v>
      </c>
      <c r="G495" s="3">
        <f>Raw_Data!G495</f>
        <v>194023</v>
      </c>
      <c r="H495" s="3">
        <f>Raw_Data!H495</f>
        <v>9171</v>
      </c>
      <c r="I495" s="3">
        <f>Raw_Data!I495</f>
        <v>1138</v>
      </c>
      <c r="J495" s="5">
        <f>Raw_Data!J495</f>
        <v>54603.35</v>
      </c>
      <c r="K495" s="6">
        <f t="shared" si="49"/>
        <v>0.0472675919865171</v>
      </c>
      <c r="L495" s="5">
        <f t="shared" si="50"/>
        <v>0.736050594264529</v>
      </c>
      <c r="M495" s="5">
        <f t="shared" si="51"/>
        <v>5.93173989455185</v>
      </c>
      <c r="N495" s="7">
        <f t="shared" si="52"/>
        <v>8.08900170658576</v>
      </c>
      <c r="O495" s="5">
        <f t="shared" si="53"/>
        <v>47853.03</v>
      </c>
      <c r="P495" s="8">
        <f t="shared" si="54"/>
        <v>87.6375350596621</v>
      </c>
      <c r="Q495" s="3" t="str">
        <f t="shared" si="55"/>
        <v>2025-06</v>
      </c>
    </row>
    <row r="496" customHeight="1" spans="1:17">
      <c r="A496" s="3" t="str">
        <f>Raw_Data!A496</f>
        <v>C0144</v>
      </c>
      <c r="B496" s="4">
        <f>Raw_Data!B496</f>
        <v>45816</v>
      </c>
      <c r="C496" s="3" t="str">
        <f>Raw_Data!C496</f>
        <v>Google Ads</v>
      </c>
      <c r="D496" s="3" t="str">
        <f>Raw_Data!D496</f>
        <v>North</v>
      </c>
      <c r="E496" s="5">
        <f>Raw_Data!E496</f>
        <v>3819.47</v>
      </c>
      <c r="F496" s="5">
        <f>Raw_Data!F496</f>
        <v>3219.42</v>
      </c>
      <c r="G496" s="3">
        <f>Raw_Data!G496</f>
        <v>77061</v>
      </c>
      <c r="H496" s="3">
        <f>Raw_Data!H496</f>
        <v>1539</v>
      </c>
      <c r="I496" s="3">
        <f>Raw_Data!I496</f>
        <v>244</v>
      </c>
      <c r="J496" s="5">
        <f>Raw_Data!J496</f>
        <v>10454.26</v>
      </c>
      <c r="K496" s="6">
        <f t="shared" si="49"/>
        <v>0.0199711916533655</v>
      </c>
      <c r="L496" s="5">
        <f t="shared" si="50"/>
        <v>2.09189083820663</v>
      </c>
      <c r="M496" s="5">
        <f t="shared" si="51"/>
        <v>13.1943442622951</v>
      </c>
      <c r="N496" s="7">
        <f t="shared" si="52"/>
        <v>3.24724950456915</v>
      </c>
      <c r="O496" s="5">
        <f t="shared" si="53"/>
        <v>7234.84</v>
      </c>
      <c r="P496" s="8">
        <f t="shared" si="54"/>
        <v>69.204706980695</v>
      </c>
      <c r="Q496" s="3" t="str">
        <f t="shared" si="55"/>
        <v>2025-06</v>
      </c>
    </row>
    <row r="497" customHeight="1" spans="1:17">
      <c r="A497" s="3" t="str">
        <f>Raw_Data!A497</f>
        <v>C0271</v>
      </c>
      <c r="B497" s="4">
        <f>Raw_Data!B497</f>
        <v>45817</v>
      </c>
      <c r="C497" s="3" t="str">
        <f>Raw_Data!C497</f>
        <v>Twitter</v>
      </c>
      <c r="D497" s="3" t="str">
        <f>Raw_Data!D497</f>
        <v>East</v>
      </c>
      <c r="E497" s="5">
        <f>Raw_Data!E497</f>
        <v>9893.89</v>
      </c>
      <c r="F497" s="5">
        <f>Raw_Data!F497</f>
        <v>10405.1</v>
      </c>
      <c r="G497" s="3">
        <f>Raw_Data!G497</f>
        <v>156463</v>
      </c>
      <c r="H497" s="3">
        <f>Raw_Data!H497</f>
        <v>3470</v>
      </c>
      <c r="I497" s="3">
        <f>Raw_Data!I497</f>
        <v>102</v>
      </c>
      <c r="J497" s="5">
        <f>Raw_Data!J497</f>
        <v>2421.47</v>
      </c>
      <c r="K497" s="6">
        <f t="shared" si="49"/>
        <v>0.0221777672676607</v>
      </c>
      <c r="L497" s="5">
        <f t="shared" si="50"/>
        <v>2.9985878962536</v>
      </c>
      <c r="M497" s="5">
        <f t="shared" si="51"/>
        <v>102.010784313725</v>
      </c>
      <c r="N497" s="7">
        <f t="shared" si="52"/>
        <v>0.232719531768075</v>
      </c>
      <c r="O497" s="5">
        <f t="shared" si="53"/>
        <v>-7983.63</v>
      </c>
      <c r="P497" s="8">
        <f t="shared" si="54"/>
        <v>-329.701792712691</v>
      </c>
      <c r="Q497" s="3" t="str">
        <f t="shared" si="55"/>
        <v>2025-06</v>
      </c>
    </row>
    <row r="498" customHeight="1" spans="1:17">
      <c r="A498" s="3" t="str">
        <f>Raw_Data!A498</f>
        <v>C0195</v>
      </c>
      <c r="B498" s="4">
        <f>Raw_Data!B498</f>
        <v>45817</v>
      </c>
      <c r="C498" s="3" t="str">
        <f>Raw_Data!C498</f>
        <v>Facebook</v>
      </c>
      <c r="D498" s="3" t="str">
        <f>Raw_Data!D498</f>
        <v>West</v>
      </c>
      <c r="E498" s="5">
        <f>Raw_Data!E498</f>
        <v>6448.33</v>
      </c>
      <c r="F498" s="5">
        <f>Raw_Data!F498</f>
        <v>5794.63</v>
      </c>
      <c r="G498" s="3">
        <f>Raw_Data!G498</f>
        <v>83163</v>
      </c>
      <c r="H498" s="3">
        <f>Raw_Data!H498</f>
        <v>2401</v>
      </c>
      <c r="I498" s="3">
        <f>Raw_Data!I498</f>
        <v>165</v>
      </c>
      <c r="J498" s="5">
        <f>Raw_Data!J498</f>
        <v>6435.33</v>
      </c>
      <c r="K498" s="6">
        <f t="shared" si="49"/>
        <v>0.0288710123492418</v>
      </c>
      <c r="L498" s="5">
        <f t="shared" si="50"/>
        <v>2.41342357351104</v>
      </c>
      <c r="M498" s="5">
        <f t="shared" si="51"/>
        <v>35.1189696969697</v>
      </c>
      <c r="N498" s="7">
        <f t="shared" si="52"/>
        <v>1.11056788785479</v>
      </c>
      <c r="O498" s="5">
        <f t="shared" si="53"/>
        <v>640.7</v>
      </c>
      <c r="P498" s="8">
        <f t="shared" si="54"/>
        <v>9.95597739354469</v>
      </c>
      <c r="Q498" s="3" t="str">
        <f t="shared" si="55"/>
        <v>2025-06</v>
      </c>
    </row>
    <row r="499" customHeight="1" spans="1:17">
      <c r="A499" s="3" t="str">
        <f>Raw_Data!A499</f>
        <v>C0405</v>
      </c>
      <c r="B499" s="4">
        <f>Raw_Data!B499</f>
        <v>45818</v>
      </c>
      <c r="C499" s="3" t="str">
        <f>Raw_Data!C499</f>
        <v>Facebook</v>
      </c>
      <c r="D499" s="3" t="str">
        <f>Raw_Data!D499</f>
        <v>North</v>
      </c>
      <c r="E499" s="5">
        <f>Raw_Data!E499</f>
        <v>4145.37</v>
      </c>
      <c r="F499" s="5">
        <f>Raw_Data!F499</f>
        <v>4304.73</v>
      </c>
      <c r="G499" s="3">
        <f>Raw_Data!G499</f>
        <v>138224</v>
      </c>
      <c r="H499" s="3">
        <f>Raw_Data!H499</f>
        <v>4150</v>
      </c>
      <c r="I499" s="3">
        <f>Raw_Data!I499</f>
        <v>232</v>
      </c>
      <c r="J499" s="5">
        <f>Raw_Data!J499</f>
        <v>9468.03</v>
      </c>
      <c r="K499" s="6">
        <f t="shared" si="49"/>
        <v>0.0300237295983331</v>
      </c>
      <c r="L499" s="5">
        <f t="shared" si="50"/>
        <v>1.0372843373494</v>
      </c>
      <c r="M499" s="5">
        <f t="shared" si="51"/>
        <v>18.5548706896552</v>
      </c>
      <c r="N499" s="7">
        <f t="shared" si="52"/>
        <v>2.19944804900656</v>
      </c>
      <c r="O499" s="5">
        <f t="shared" si="53"/>
        <v>5163.3</v>
      </c>
      <c r="P499" s="8">
        <f t="shared" si="54"/>
        <v>54.5340477374913</v>
      </c>
      <c r="Q499" s="3" t="str">
        <f t="shared" si="55"/>
        <v>2025-06</v>
      </c>
    </row>
    <row r="500" customHeight="1" spans="1:17">
      <c r="A500" s="3" t="str">
        <f>Raw_Data!A500</f>
        <v>C0076</v>
      </c>
      <c r="B500" s="4">
        <f>Raw_Data!B500</f>
        <v>45818</v>
      </c>
      <c r="C500" s="3" t="str">
        <f>Raw_Data!C500</f>
        <v>Instagram</v>
      </c>
      <c r="D500" s="3" t="str">
        <f>Raw_Data!D500</f>
        <v>North</v>
      </c>
      <c r="E500" s="5">
        <f>Raw_Data!E500</f>
        <v>4707.93</v>
      </c>
      <c r="F500" s="5">
        <f>Raw_Data!F500</f>
        <v>5140.6</v>
      </c>
      <c r="G500" s="3">
        <f>Raw_Data!G500</f>
        <v>94803</v>
      </c>
      <c r="H500" s="3">
        <f>Raw_Data!H500</f>
        <v>2004</v>
      </c>
      <c r="I500" s="3">
        <f>Raw_Data!I500</f>
        <v>320</v>
      </c>
      <c r="J500" s="5">
        <f>Raw_Data!J500</f>
        <v>10173.74</v>
      </c>
      <c r="K500" s="6">
        <f t="shared" si="49"/>
        <v>0.021138571564191</v>
      </c>
      <c r="L500" s="5">
        <f t="shared" si="50"/>
        <v>2.56516966067864</v>
      </c>
      <c r="M500" s="5">
        <f t="shared" si="51"/>
        <v>16.064375</v>
      </c>
      <c r="N500" s="7">
        <f t="shared" si="52"/>
        <v>1.97909582539003</v>
      </c>
      <c r="O500" s="5">
        <f t="shared" si="53"/>
        <v>5033.14</v>
      </c>
      <c r="P500" s="8">
        <f t="shared" si="54"/>
        <v>49.4718756327565</v>
      </c>
      <c r="Q500" s="3" t="str">
        <f t="shared" si="55"/>
        <v>2025-06</v>
      </c>
    </row>
    <row r="501" customHeight="1" spans="1:17">
      <c r="A501" s="3" t="str">
        <f>Raw_Data!A501</f>
        <v>C0357</v>
      </c>
      <c r="B501" s="4">
        <f>Raw_Data!B501</f>
        <v>45818</v>
      </c>
      <c r="C501" s="3" t="str">
        <f>Raw_Data!C501</f>
        <v>Google Ads</v>
      </c>
      <c r="D501" s="3" t="str">
        <f>Raw_Data!D501</f>
        <v>East</v>
      </c>
      <c r="E501" s="5">
        <f>Raw_Data!E501</f>
        <v>5482.36</v>
      </c>
      <c r="F501" s="5">
        <f>Raw_Data!F501</f>
        <v>4858.31</v>
      </c>
      <c r="G501" s="3">
        <f>Raw_Data!G501</f>
        <v>99224</v>
      </c>
      <c r="H501" s="3">
        <f>Raw_Data!H501</f>
        <v>3662</v>
      </c>
      <c r="I501" s="3">
        <f>Raw_Data!I501</f>
        <v>233</v>
      </c>
      <c r="J501" s="5">
        <f>Raw_Data!J501</f>
        <v>6731.19</v>
      </c>
      <c r="K501" s="6">
        <f t="shared" si="49"/>
        <v>0.0369063936144481</v>
      </c>
      <c r="L501" s="5">
        <f t="shared" si="50"/>
        <v>1.32668214090661</v>
      </c>
      <c r="M501" s="5">
        <f t="shared" si="51"/>
        <v>20.8511158798283</v>
      </c>
      <c r="N501" s="7">
        <f t="shared" si="52"/>
        <v>1.38550030772017</v>
      </c>
      <c r="O501" s="5">
        <f t="shared" si="53"/>
        <v>1872.88</v>
      </c>
      <c r="P501" s="8">
        <f t="shared" si="54"/>
        <v>27.8239063226562</v>
      </c>
      <c r="Q501" s="3" t="str">
        <f t="shared" si="55"/>
        <v>2025-06</v>
      </c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7619047619048" defaultRowHeight="15"/>
  <cols>
    <col min="1" max="3" width="12" style="1" customWidth="1"/>
    <col min="4" max="4" width="10" style="1" customWidth="1"/>
    <col min="5" max="7" width="12" style="1" customWidth="1"/>
    <col min="8" max="8" width="10" style="1" customWidth="1"/>
    <col min="9" max="9" width="12" style="1" customWidth="1"/>
    <col min="10" max="10" width="13" style="1" customWidth="1"/>
  </cols>
  <sheetData>
    <row r="1" customHeight="1" spans="1:10">
      <c r="A1" s="2" t="s">
        <v>55</v>
      </c>
      <c r="B1" s="2" t="s">
        <v>56</v>
      </c>
      <c r="C1" s="2" t="s">
        <v>13</v>
      </c>
      <c r="D1" s="2" t="s">
        <v>12</v>
      </c>
      <c r="E1" s="2" t="s">
        <v>54</v>
      </c>
      <c r="F1" s="2" t="s">
        <v>33</v>
      </c>
      <c r="G1" s="2" t="s">
        <v>51</v>
      </c>
      <c r="H1" s="2" t="s">
        <v>52</v>
      </c>
      <c r="I1" s="2" t="s">
        <v>35</v>
      </c>
      <c r="J1" s="2" t="s">
        <v>34</v>
      </c>
    </row>
    <row r="2" customHeight="1" spans="1:10">
      <c r="A2" s="3" t="s">
        <v>61</v>
      </c>
      <c r="B2" s="4">
        <v>45636</v>
      </c>
      <c r="C2" s="3" t="s">
        <v>20</v>
      </c>
      <c r="D2" s="3" t="s">
        <v>15</v>
      </c>
      <c r="E2" s="5">
        <v>5612.76</v>
      </c>
      <c r="F2" s="5">
        <v>4872.89</v>
      </c>
      <c r="G2" s="3">
        <v>107940</v>
      </c>
      <c r="H2" s="3">
        <v>2915</v>
      </c>
      <c r="I2" s="3">
        <v>150</v>
      </c>
      <c r="J2" s="5">
        <v>3329.38</v>
      </c>
    </row>
    <row r="3" customHeight="1" spans="1:10">
      <c r="A3" s="3" t="s">
        <v>62</v>
      </c>
      <c r="B3" s="4">
        <v>45636</v>
      </c>
      <c r="C3" s="3" t="s">
        <v>27</v>
      </c>
      <c r="D3" s="3" t="s">
        <v>16</v>
      </c>
      <c r="E3" s="5">
        <v>8757.76</v>
      </c>
      <c r="F3" s="5">
        <v>9501.64</v>
      </c>
      <c r="G3" s="3">
        <v>75315</v>
      </c>
      <c r="H3" s="3">
        <v>1121</v>
      </c>
      <c r="I3" s="3">
        <v>85</v>
      </c>
      <c r="J3" s="5">
        <v>3550.58</v>
      </c>
    </row>
    <row r="4" customHeight="1" spans="1:10">
      <c r="A4" s="3" t="s">
        <v>63</v>
      </c>
      <c r="B4" s="4">
        <v>45636</v>
      </c>
      <c r="C4" s="3" t="s">
        <v>24</v>
      </c>
      <c r="D4" s="3" t="s">
        <v>15</v>
      </c>
      <c r="E4" s="5">
        <v>4480.14</v>
      </c>
      <c r="F4" s="5">
        <v>4024.28</v>
      </c>
      <c r="G4" s="3">
        <v>177951</v>
      </c>
      <c r="H4" s="3">
        <v>3898</v>
      </c>
      <c r="I4" s="3">
        <v>283</v>
      </c>
      <c r="J4" s="5">
        <v>6676.78</v>
      </c>
    </row>
    <row r="5" customHeight="1" spans="1:10">
      <c r="A5" s="3" t="s">
        <v>64</v>
      </c>
      <c r="B5" s="4">
        <v>45636</v>
      </c>
      <c r="C5" s="3" t="s">
        <v>27</v>
      </c>
      <c r="D5" s="3" t="s">
        <v>15</v>
      </c>
      <c r="E5" s="5">
        <v>9244.33</v>
      </c>
      <c r="F5" s="5">
        <v>9145.8</v>
      </c>
      <c r="G5" s="3">
        <v>55244</v>
      </c>
      <c r="H5" s="3">
        <v>2028</v>
      </c>
      <c r="I5" s="3">
        <v>320</v>
      </c>
      <c r="J5" s="5">
        <v>14030.19</v>
      </c>
    </row>
    <row r="6" customHeight="1" spans="1:10">
      <c r="A6" s="3" t="s">
        <v>65</v>
      </c>
      <c r="B6" s="4">
        <v>45637</v>
      </c>
      <c r="C6" s="3" t="s">
        <v>25</v>
      </c>
      <c r="D6" s="3" t="s">
        <v>18</v>
      </c>
      <c r="E6" s="5">
        <v>9789.4</v>
      </c>
      <c r="F6" s="5">
        <v>10304.67</v>
      </c>
      <c r="G6" s="3">
        <v>143568</v>
      </c>
      <c r="H6" s="3">
        <v>6593</v>
      </c>
      <c r="I6" s="3">
        <v>869</v>
      </c>
      <c r="J6" s="5">
        <v>39235.23</v>
      </c>
    </row>
    <row r="7" customHeight="1" spans="1:10">
      <c r="A7" s="3" t="s">
        <v>66</v>
      </c>
      <c r="B7" s="4">
        <v>45637</v>
      </c>
      <c r="C7" s="3" t="s">
        <v>26</v>
      </c>
      <c r="D7" s="3" t="s">
        <v>18</v>
      </c>
      <c r="E7" s="5">
        <v>8232.3</v>
      </c>
      <c r="F7" s="5">
        <v>6676.44</v>
      </c>
      <c r="G7" s="3">
        <v>195298</v>
      </c>
      <c r="H7" s="3">
        <v>3830</v>
      </c>
      <c r="I7" s="3">
        <v>340</v>
      </c>
      <c r="J7" s="5">
        <v>9374.86</v>
      </c>
    </row>
    <row r="8" customHeight="1" spans="1:10">
      <c r="A8" s="3" t="s">
        <v>67</v>
      </c>
      <c r="B8" s="4">
        <v>45637</v>
      </c>
      <c r="C8" s="3" t="s">
        <v>25</v>
      </c>
      <c r="D8" s="3" t="s">
        <v>17</v>
      </c>
      <c r="E8" s="5">
        <v>6989.23</v>
      </c>
      <c r="F8" s="5">
        <v>7190.08</v>
      </c>
      <c r="G8" s="3">
        <v>119284</v>
      </c>
      <c r="H8" s="3">
        <v>1389</v>
      </c>
      <c r="I8" s="3">
        <v>211</v>
      </c>
      <c r="J8" s="5">
        <v>9769.93</v>
      </c>
    </row>
    <row r="9" customHeight="1" spans="1:10">
      <c r="A9" s="3" t="s">
        <v>68</v>
      </c>
      <c r="B9" s="4">
        <v>45637</v>
      </c>
      <c r="C9" s="3" t="s">
        <v>27</v>
      </c>
      <c r="D9" s="3" t="s">
        <v>15</v>
      </c>
      <c r="E9" s="5">
        <v>9913.68</v>
      </c>
      <c r="F9" s="5">
        <v>10738.67</v>
      </c>
      <c r="G9" s="3">
        <v>123947</v>
      </c>
      <c r="H9" s="3">
        <v>4068</v>
      </c>
      <c r="I9" s="3">
        <v>400</v>
      </c>
      <c r="J9" s="5">
        <v>8473.12</v>
      </c>
    </row>
    <row r="10" customHeight="1" spans="1:10">
      <c r="A10" s="3" t="s">
        <v>69</v>
      </c>
      <c r="B10" s="4">
        <v>45638</v>
      </c>
      <c r="C10" s="3" t="s">
        <v>26</v>
      </c>
      <c r="D10" s="3" t="s">
        <v>18</v>
      </c>
      <c r="E10" s="5">
        <v>7486.12</v>
      </c>
      <c r="F10" s="5">
        <v>6397.37</v>
      </c>
      <c r="G10" s="3">
        <v>150378</v>
      </c>
      <c r="H10" s="3">
        <v>1516</v>
      </c>
      <c r="I10" s="3">
        <v>269</v>
      </c>
      <c r="J10" s="5">
        <v>8169.53</v>
      </c>
    </row>
    <row r="11" customHeight="1" spans="1:10">
      <c r="A11" s="3" t="s">
        <v>70</v>
      </c>
      <c r="B11" s="4">
        <v>45639</v>
      </c>
      <c r="C11" s="3" t="s">
        <v>27</v>
      </c>
      <c r="D11" s="3" t="s">
        <v>16</v>
      </c>
      <c r="E11" s="5">
        <v>6990.43</v>
      </c>
      <c r="F11" s="5">
        <v>5796.14</v>
      </c>
      <c r="G11" s="3">
        <v>97675</v>
      </c>
      <c r="H11" s="3">
        <v>4253</v>
      </c>
      <c r="I11" s="3">
        <v>420</v>
      </c>
      <c r="J11" s="5">
        <v>16149.09</v>
      </c>
    </row>
    <row r="12" customHeight="1" spans="1:10">
      <c r="A12" s="3" t="s">
        <v>71</v>
      </c>
      <c r="B12" s="4">
        <v>45639</v>
      </c>
      <c r="C12" s="3" t="s">
        <v>25</v>
      </c>
      <c r="D12" s="3" t="s">
        <v>17</v>
      </c>
      <c r="E12" s="5">
        <v>6603.72</v>
      </c>
      <c r="F12" s="5">
        <v>5994.66</v>
      </c>
      <c r="G12" s="3">
        <v>55887</v>
      </c>
      <c r="H12" s="3">
        <v>1060</v>
      </c>
      <c r="I12" s="3">
        <v>202</v>
      </c>
      <c r="J12" s="5">
        <v>7633.28</v>
      </c>
    </row>
    <row r="13" customHeight="1" spans="1:10">
      <c r="A13" s="3" t="s">
        <v>72</v>
      </c>
      <c r="B13" s="4">
        <v>45639</v>
      </c>
      <c r="C13" s="3" t="s">
        <v>26</v>
      </c>
      <c r="D13" s="3" t="s">
        <v>18</v>
      </c>
      <c r="E13" s="5">
        <v>3684.84</v>
      </c>
      <c r="F13" s="5">
        <v>3491.33</v>
      </c>
      <c r="G13" s="3">
        <v>99153</v>
      </c>
      <c r="H13" s="3">
        <v>2036</v>
      </c>
      <c r="I13" s="3">
        <v>382</v>
      </c>
      <c r="J13" s="5">
        <v>13065.99</v>
      </c>
    </row>
    <row r="14" customHeight="1" spans="1:10">
      <c r="A14" s="3" t="s">
        <v>73</v>
      </c>
      <c r="B14" s="4">
        <v>45639</v>
      </c>
      <c r="C14" s="3" t="s">
        <v>24</v>
      </c>
      <c r="D14" s="3" t="s">
        <v>15</v>
      </c>
      <c r="E14" s="5">
        <v>8988.22</v>
      </c>
      <c r="F14" s="5">
        <v>9087.97</v>
      </c>
      <c r="G14" s="3">
        <v>127750</v>
      </c>
      <c r="H14" s="3">
        <v>5551</v>
      </c>
      <c r="I14" s="3">
        <v>393</v>
      </c>
      <c r="J14" s="5">
        <v>13450.51</v>
      </c>
    </row>
    <row r="15" customHeight="1" spans="1:10">
      <c r="A15" s="3" t="s">
        <v>74</v>
      </c>
      <c r="B15" s="4">
        <v>45640</v>
      </c>
      <c r="C15" s="3" t="s">
        <v>20</v>
      </c>
      <c r="D15" s="3" t="s">
        <v>18</v>
      </c>
      <c r="E15" s="5">
        <v>9008.89</v>
      </c>
      <c r="F15" s="5">
        <v>8366.54</v>
      </c>
      <c r="G15" s="3">
        <v>144975</v>
      </c>
      <c r="H15" s="3">
        <v>7116</v>
      </c>
      <c r="I15" s="3">
        <v>119</v>
      </c>
      <c r="J15" s="5">
        <v>5060.61</v>
      </c>
    </row>
    <row r="16" customHeight="1" spans="1:10">
      <c r="A16" s="3" t="s">
        <v>75</v>
      </c>
      <c r="B16" s="4">
        <v>45640</v>
      </c>
      <c r="C16" s="3" t="s">
        <v>26</v>
      </c>
      <c r="D16" s="3" t="s">
        <v>16</v>
      </c>
      <c r="E16" s="5">
        <v>5491.81</v>
      </c>
      <c r="F16" s="5">
        <v>5642.03</v>
      </c>
      <c r="G16" s="3">
        <v>147883</v>
      </c>
      <c r="H16" s="3">
        <v>1463</v>
      </c>
      <c r="I16" s="3">
        <v>163</v>
      </c>
      <c r="J16" s="5">
        <v>3330.38</v>
      </c>
    </row>
    <row r="17" customHeight="1" spans="1:10">
      <c r="A17" s="3" t="s">
        <v>76</v>
      </c>
      <c r="B17" s="4">
        <v>45640</v>
      </c>
      <c r="C17" s="3" t="s">
        <v>24</v>
      </c>
      <c r="D17" s="3" t="s">
        <v>17</v>
      </c>
      <c r="E17" s="5">
        <v>6804.87</v>
      </c>
      <c r="F17" s="5">
        <v>7294.42</v>
      </c>
      <c r="G17" s="3">
        <v>142706</v>
      </c>
      <c r="H17" s="3">
        <v>4101</v>
      </c>
      <c r="I17" s="3">
        <v>124</v>
      </c>
      <c r="J17" s="5">
        <v>4802.17</v>
      </c>
    </row>
    <row r="18" customHeight="1" spans="1:10">
      <c r="A18" s="3" t="s">
        <v>77</v>
      </c>
      <c r="B18" s="4">
        <v>45640</v>
      </c>
      <c r="C18" s="3" t="s">
        <v>20</v>
      </c>
      <c r="D18" s="3" t="s">
        <v>17</v>
      </c>
      <c r="E18" s="5">
        <v>8396.39</v>
      </c>
      <c r="F18" s="5">
        <v>6985.62</v>
      </c>
      <c r="G18" s="3">
        <v>110667</v>
      </c>
      <c r="H18" s="3">
        <v>2560</v>
      </c>
      <c r="I18" s="3">
        <v>409</v>
      </c>
      <c r="J18" s="5">
        <v>9101.94</v>
      </c>
    </row>
    <row r="19" customHeight="1" spans="1:10">
      <c r="A19" s="3" t="s">
        <v>78</v>
      </c>
      <c r="B19" s="4">
        <v>45641</v>
      </c>
      <c r="C19" s="3" t="s">
        <v>20</v>
      </c>
      <c r="D19" s="3" t="s">
        <v>18</v>
      </c>
      <c r="E19" s="5">
        <v>5334.49</v>
      </c>
      <c r="F19" s="5">
        <v>4904.8</v>
      </c>
      <c r="G19" s="3">
        <v>191774</v>
      </c>
      <c r="H19" s="3">
        <v>6884</v>
      </c>
      <c r="I19" s="3">
        <v>582</v>
      </c>
      <c r="J19" s="5">
        <v>21022.93</v>
      </c>
    </row>
    <row r="20" customHeight="1" spans="1:10">
      <c r="A20" s="3" t="s">
        <v>79</v>
      </c>
      <c r="B20" s="4">
        <v>45641</v>
      </c>
      <c r="C20" s="3" t="s">
        <v>25</v>
      </c>
      <c r="D20" s="3" t="s">
        <v>17</v>
      </c>
      <c r="E20" s="5">
        <v>4807.71</v>
      </c>
      <c r="F20" s="5">
        <v>4508.39</v>
      </c>
      <c r="G20" s="3">
        <v>156215</v>
      </c>
      <c r="H20" s="3">
        <v>6524</v>
      </c>
      <c r="I20" s="3">
        <v>641</v>
      </c>
      <c r="J20" s="5">
        <v>31666.03</v>
      </c>
    </row>
    <row r="21" customHeight="1" spans="1:10">
      <c r="A21" s="3" t="s">
        <v>80</v>
      </c>
      <c r="B21" s="4">
        <v>45642</v>
      </c>
      <c r="C21" s="3" t="s">
        <v>27</v>
      </c>
      <c r="D21" s="3" t="s">
        <v>15</v>
      </c>
      <c r="E21" s="5">
        <v>8726.1</v>
      </c>
      <c r="F21" s="5">
        <v>9234.13</v>
      </c>
      <c r="G21" s="3">
        <v>169629</v>
      </c>
      <c r="H21" s="3">
        <v>5933</v>
      </c>
      <c r="I21" s="3">
        <v>149</v>
      </c>
      <c r="J21" s="5">
        <v>3011.08</v>
      </c>
    </row>
    <row r="22" customHeight="1" spans="1:10">
      <c r="A22" s="3" t="s">
        <v>81</v>
      </c>
      <c r="B22" s="4">
        <v>45642</v>
      </c>
      <c r="C22" s="3" t="s">
        <v>24</v>
      </c>
      <c r="D22" s="3" t="s">
        <v>16</v>
      </c>
      <c r="E22" s="5">
        <v>5805.34</v>
      </c>
      <c r="F22" s="5">
        <v>5618.94</v>
      </c>
      <c r="G22" s="3">
        <v>102654</v>
      </c>
      <c r="H22" s="3">
        <v>4465</v>
      </c>
      <c r="I22" s="3">
        <v>500</v>
      </c>
      <c r="J22" s="5">
        <v>12328.6</v>
      </c>
    </row>
    <row r="23" customHeight="1" spans="1:10">
      <c r="A23" s="3" t="s">
        <v>82</v>
      </c>
      <c r="B23" s="4">
        <v>45642</v>
      </c>
      <c r="C23" s="3" t="s">
        <v>24</v>
      </c>
      <c r="D23" s="3" t="s">
        <v>17</v>
      </c>
      <c r="E23" s="5">
        <v>9392.68</v>
      </c>
      <c r="F23" s="5">
        <v>8955.01</v>
      </c>
      <c r="G23" s="3">
        <v>83386</v>
      </c>
      <c r="H23" s="3">
        <v>1255</v>
      </c>
      <c r="I23" s="3">
        <v>90</v>
      </c>
      <c r="J23" s="5">
        <v>3154.09</v>
      </c>
    </row>
    <row r="24" customHeight="1" spans="1:10">
      <c r="A24" s="3" t="s">
        <v>83</v>
      </c>
      <c r="B24" s="4">
        <v>45642</v>
      </c>
      <c r="C24" s="3" t="s">
        <v>24</v>
      </c>
      <c r="D24" s="3" t="s">
        <v>18</v>
      </c>
      <c r="E24" s="5">
        <v>7392.54</v>
      </c>
      <c r="F24" s="5">
        <v>7851.64</v>
      </c>
      <c r="G24" s="3">
        <v>61724</v>
      </c>
      <c r="H24" s="3">
        <v>1074</v>
      </c>
      <c r="I24" s="3">
        <v>134</v>
      </c>
      <c r="J24" s="5">
        <v>6636.02</v>
      </c>
    </row>
    <row r="25" customHeight="1" spans="1:10">
      <c r="A25" s="3" t="s">
        <v>84</v>
      </c>
      <c r="B25" s="4">
        <v>45642</v>
      </c>
      <c r="C25" s="3" t="s">
        <v>20</v>
      </c>
      <c r="D25" s="3" t="s">
        <v>15</v>
      </c>
      <c r="E25" s="5">
        <v>8957.96</v>
      </c>
      <c r="F25" s="5">
        <v>8018.06</v>
      </c>
      <c r="G25" s="3">
        <v>88706</v>
      </c>
      <c r="H25" s="3">
        <v>1251</v>
      </c>
      <c r="I25" s="3">
        <v>146</v>
      </c>
      <c r="J25" s="5">
        <v>3662.38</v>
      </c>
    </row>
    <row r="26" customHeight="1" spans="1:10">
      <c r="A26" s="3" t="s">
        <v>85</v>
      </c>
      <c r="B26" s="4">
        <v>45643</v>
      </c>
      <c r="C26" s="3" t="s">
        <v>27</v>
      </c>
      <c r="D26" s="3" t="s">
        <v>15</v>
      </c>
      <c r="E26" s="5">
        <v>3597.45</v>
      </c>
      <c r="F26" s="5">
        <v>3953.82</v>
      </c>
      <c r="G26" s="3">
        <v>92675</v>
      </c>
      <c r="H26" s="3">
        <v>1207</v>
      </c>
      <c r="I26" s="3">
        <v>133</v>
      </c>
      <c r="J26" s="5">
        <v>4663.76</v>
      </c>
    </row>
    <row r="27" customHeight="1" spans="1:10">
      <c r="A27" s="3" t="s">
        <v>86</v>
      </c>
      <c r="B27" s="4">
        <v>45643</v>
      </c>
      <c r="C27" s="3" t="s">
        <v>24</v>
      </c>
      <c r="D27" s="3" t="s">
        <v>18</v>
      </c>
      <c r="E27" s="5">
        <v>5454.11</v>
      </c>
      <c r="F27" s="5">
        <v>5328.53</v>
      </c>
      <c r="G27" s="3">
        <v>167161</v>
      </c>
      <c r="H27" s="3">
        <v>1156</v>
      </c>
      <c r="I27" s="3">
        <v>85</v>
      </c>
      <c r="J27" s="5">
        <v>2700.22</v>
      </c>
    </row>
    <row r="28" customHeight="1" spans="1:10">
      <c r="A28" s="3" t="s">
        <v>87</v>
      </c>
      <c r="B28" s="4">
        <v>45643</v>
      </c>
      <c r="C28" s="3" t="s">
        <v>27</v>
      </c>
      <c r="D28" s="3" t="s">
        <v>18</v>
      </c>
      <c r="E28" s="5">
        <v>9876.65</v>
      </c>
      <c r="F28" s="5">
        <v>8233.29</v>
      </c>
      <c r="G28" s="3">
        <v>99291</v>
      </c>
      <c r="H28" s="3">
        <v>1323</v>
      </c>
      <c r="I28" s="3">
        <v>252</v>
      </c>
      <c r="J28" s="5">
        <v>8047.79</v>
      </c>
    </row>
    <row r="29" customHeight="1" spans="1:10">
      <c r="A29" s="3" t="s">
        <v>88</v>
      </c>
      <c r="B29" s="4">
        <v>45644</v>
      </c>
      <c r="C29" s="3" t="s">
        <v>20</v>
      </c>
      <c r="D29" s="3" t="s">
        <v>17</v>
      </c>
      <c r="E29" s="5">
        <v>9034.89</v>
      </c>
      <c r="F29" s="5">
        <v>9422.08</v>
      </c>
      <c r="G29" s="3">
        <v>184680</v>
      </c>
      <c r="H29" s="3">
        <v>7103</v>
      </c>
      <c r="I29" s="3">
        <v>104</v>
      </c>
      <c r="J29" s="5">
        <v>4124.35</v>
      </c>
    </row>
    <row r="30" customHeight="1" spans="1:10">
      <c r="A30" s="3" t="s">
        <v>89</v>
      </c>
      <c r="B30" s="4">
        <v>45644</v>
      </c>
      <c r="C30" s="3" t="s">
        <v>27</v>
      </c>
      <c r="D30" s="3" t="s">
        <v>18</v>
      </c>
      <c r="E30" s="5">
        <v>9445.89</v>
      </c>
      <c r="F30" s="5">
        <v>10021.8</v>
      </c>
      <c r="G30" s="3">
        <v>128263</v>
      </c>
      <c r="H30" s="3">
        <v>5531</v>
      </c>
      <c r="I30" s="3">
        <v>947</v>
      </c>
      <c r="J30" s="5">
        <v>33680.19</v>
      </c>
    </row>
    <row r="31" customHeight="1" spans="1:10">
      <c r="A31" s="3" t="s">
        <v>90</v>
      </c>
      <c r="B31" s="4">
        <v>45645</v>
      </c>
      <c r="C31" s="3" t="s">
        <v>24</v>
      </c>
      <c r="D31" s="3" t="s">
        <v>15</v>
      </c>
      <c r="E31" s="5">
        <v>9505.63</v>
      </c>
      <c r="F31" s="5">
        <v>9192.22</v>
      </c>
      <c r="G31" s="3">
        <v>92367</v>
      </c>
      <c r="H31" s="3">
        <v>1602</v>
      </c>
      <c r="I31" s="3">
        <v>166</v>
      </c>
      <c r="J31" s="5">
        <v>6166.63</v>
      </c>
    </row>
    <row r="32" customHeight="1" spans="1:10">
      <c r="A32" s="3" t="s">
        <v>91</v>
      </c>
      <c r="B32" s="4">
        <v>45645</v>
      </c>
      <c r="C32" s="3" t="s">
        <v>20</v>
      </c>
      <c r="D32" s="3" t="s">
        <v>17</v>
      </c>
      <c r="E32" s="5">
        <v>8458.92</v>
      </c>
      <c r="F32" s="5">
        <v>7038.62</v>
      </c>
      <c r="G32" s="3">
        <v>187533</v>
      </c>
      <c r="H32" s="3">
        <v>7387</v>
      </c>
      <c r="I32" s="3">
        <v>925</v>
      </c>
      <c r="J32" s="5">
        <v>39618.52</v>
      </c>
    </row>
    <row r="33" customHeight="1" spans="1:10">
      <c r="A33" s="3" t="s">
        <v>92</v>
      </c>
      <c r="B33" s="4">
        <v>45645</v>
      </c>
      <c r="C33" s="3" t="s">
        <v>27</v>
      </c>
      <c r="D33" s="3" t="s">
        <v>18</v>
      </c>
      <c r="E33" s="5">
        <v>8504.42</v>
      </c>
      <c r="F33" s="5">
        <v>7031.65</v>
      </c>
      <c r="G33" s="3">
        <v>176820</v>
      </c>
      <c r="H33" s="3">
        <v>1932</v>
      </c>
      <c r="I33" s="3">
        <v>64</v>
      </c>
      <c r="J33" s="5">
        <v>2081.76</v>
      </c>
    </row>
    <row r="34" customHeight="1" spans="1:10">
      <c r="A34" s="3" t="s">
        <v>93</v>
      </c>
      <c r="B34" s="4">
        <v>45645</v>
      </c>
      <c r="C34" s="3" t="s">
        <v>27</v>
      </c>
      <c r="D34" s="3" t="s">
        <v>17</v>
      </c>
      <c r="E34" s="5">
        <v>9141.61</v>
      </c>
      <c r="F34" s="5">
        <v>9344.83</v>
      </c>
      <c r="G34" s="3">
        <v>154219</v>
      </c>
      <c r="H34" s="3">
        <v>2086</v>
      </c>
      <c r="I34" s="3">
        <v>249</v>
      </c>
      <c r="J34" s="5">
        <v>10186.71</v>
      </c>
    </row>
    <row r="35" customHeight="1" spans="1:10">
      <c r="A35" s="3" t="s">
        <v>94</v>
      </c>
      <c r="B35" s="4">
        <v>45645</v>
      </c>
      <c r="C35" s="3" t="s">
        <v>20</v>
      </c>
      <c r="D35" s="3" t="s">
        <v>15</v>
      </c>
      <c r="E35" s="5">
        <v>5387.46</v>
      </c>
      <c r="F35" s="5">
        <v>4493.37</v>
      </c>
      <c r="G35" s="3">
        <v>145652</v>
      </c>
      <c r="H35" s="3">
        <v>3086</v>
      </c>
      <c r="I35" s="3">
        <v>536</v>
      </c>
      <c r="J35" s="5">
        <v>25589.07</v>
      </c>
    </row>
    <row r="36" customHeight="1" spans="1:10">
      <c r="A36" s="3" t="s">
        <v>95</v>
      </c>
      <c r="B36" s="4">
        <v>45646</v>
      </c>
      <c r="C36" s="3" t="s">
        <v>24</v>
      </c>
      <c r="D36" s="3" t="s">
        <v>15</v>
      </c>
      <c r="E36" s="5">
        <v>3240.72</v>
      </c>
      <c r="F36" s="5">
        <v>3476.63</v>
      </c>
      <c r="G36" s="3">
        <v>76429</v>
      </c>
      <c r="H36" s="3">
        <v>2090</v>
      </c>
      <c r="I36" s="3">
        <v>69</v>
      </c>
      <c r="J36" s="5">
        <v>1915.67</v>
      </c>
    </row>
    <row r="37" customHeight="1" spans="1:10">
      <c r="A37" s="3" t="s">
        <v>96</v>
      </c>
      <c r="B37" s="4">
        <v>45646</v>
      </c>
      <c r="C37" s="3" t="s">
        <v>24</v>
      </c>
      <c r="D37" s="3" t="s">
        <v>18</v>
      </c>
      <c r="E37" s="5">
        <v>7422.86</v>
      </c>
      <c r="F37" s="5">
        <v>6936.91</v>
      </c>
      <c r="G37" s="3">
        <v>174799</v>
      </c>
      <c r="H37" s="3">
        <v>5339</v>
      </c>
      <c r="I37" s="3">
        <v>543</v>
      </c>
      <c r="J37" s="5">
        <v>15636.4</v>
      </c>
    </row>
    <row r="38" customHeight="1" spans="1:10">
      <c r="A38" s="3" t="s">
        <v>97</v>
      </c>
      <c r="B38" s="4">
        <v>45646</v>
      </c>
      <c r="C38" s="3" t="s">
        <v>20</v>
      </c>
      <c r="D38" s="3" t="s">
        <v>17</v>
      </c>
      <c r="E38" s="5">
        <v>8382.91</v>
      </c>
      <c r="F38" s="5">
        <v>9082.29</v>
      </c>
      <c r="G38" s="3">
        <v>92405</v>
      </c>
      <c r="H38" s="3">
        <v>3028</v>
      </c>
      <c r="I38" s="3">
        <v>356</v>
      </c>
      <c r="J38" s="5">
        <v>16194.23</v>
      </c>
    </row>
    <row r="39" customHeight="1" spans="1:10">
      <c r="A39" s="3" t="s">
        <v>98</v>
      </c>
      <c r="B39" s="4">
        <v>45647</v>
      </c>
      <c r="C39" s="3" t="s">
        <v>20</v>
      </c>
      <c r="D39" s="3" t="s">
        <v>16</v>
      </c>
      <c r="E39" s="5">
        <v>8128</v>
      </c>
      <c r="F39" s="5">
        <v>7026.51</v>
      </c>
      <c r="G39" s="3">
        <v>156872</v>
      </c>
      <c r="H39" s="3">
        <v>6177</v>
      </c>
      <c r="I39" s="3">
        <v>381</v>
      </c>
      <c r="J39" s="5">
        <v>7976.42</v>
      </c>
    </row>
    <row r="40" customHeight="1" spans="1:10">
      <c r="A40" s="3" t="s">
        <v>99</v>
      </c>
      <c r="B40" s="4">
        <v>45647</v>
      </c>
      <c r="C40" s="3" t="s">
        <v>24</v>
      </c>
      <c r="D40" s="3" t="s">
        <v>15</v>
      </c>
      <c r="E40" s="5">
        <v>4444.34</v>
      </c>
      <c r="F40" s="5">
        <v>4041.15</v>
      </c>
      <c r="G40" s="3">
        <v>154562</v>
      </c>
      <c r="H40" s="3">
        <v>4028</v>
      </c>
      <c r="I40" s="3">
        <v>250</v>
      </c>
      <c r="J40" s="5">
        <v>8775.63</v>
      </c>
    </row>
    <row r="41" customHeight="1" spans="1:10">
      <c r="A41" s="3" t="s">
        <v>100</v>
      </c>
      <c r="B41" s="4">
        <v>45647</v>
      </c>
      <c r="C41" s="3" t="s">
        <v>20</v>
      </c>
      <c r="D41" s="3" t="s">
        <v>18</v>
      </c>
      <c r="E41" s="5">
        <v>6043.79</v>
      </c>
      <c r="F41" s="5">
        <v>5281.79</v>
      </c>
      <c r="G41" s="3">
        <v>83532</v>
      </c>
      <c r="H41" s="3">
        <v>3585</v>
      </c>
      <c r="I41" s="3">
        <v>478</v>
      </c>
      <c r="J41" s="5">
        <v>21305.93</v>
      </c>
    </row>
    <row r="42" customHeight="1" spans="1:10">
      <c r="A42" s="3" t="s">
        <v>101</v>
      </c>
      <c r="B42" s="4">
        <v>45650</v>
      </c>
      <c r="C42" s="3" t="s">
        <v>25</v>
      </c>
      <c r="D42" s="3" t="s">
        <v>17</v>
      </c>
      <c r="E42" s="5">
        <v>9337.67</v>
      </c>
      <c r="F42" s="5">
        <v>7725.86</v>
      </c>
      <c r="G42" s="3">
        <v>163943</v>
      </c>
      <c r="H42" s="3">
        <v>2848</v>
      </c>
      <c r="I42" s="3">
        <v>536</v>
      </c>
      <c r="J42" s="5">
        <v>15854.56</v>
      </c>
    </row>
    <row r="43" customHeight="1" spans="1:10">
      <c r="A43" s="3" t="s">
        <v>102</v>
      </c>
      <c r="B43" s="4">
        <v>45651</v>
      </c>
      <c r="C43" s="3" t="s">
        <v>24</v>
      </c>
      <c r="D43" s="3" t="s">
        <v>17</v>
      </c>
      <c r="E43" s="5">
        <v>7340.51</v>
      </c>
      <c r="F43" s="5">
        <v>7047.17</v>
      </c>
      <c r="G43" s="3">
        <v>103661</v>
      </c>
      <c r="H43" s="3">
        <v>3336</v>
      </c>
      <c r="I43" s="3">
        <v>394</v>
      </c>
      <c r="J43" s="5">
        <v>18445.81</v>
      </c>
    </row>
    <row r="44" customHeight="1" spans="1:10">
      <c r="A44" s="3" t="s">
        <v>103</v>
      </c>
      <c r="B44" s="4">
        <v>45652</v>
      </c>
      <c r="C44" s="3" t="s">
        <v>25</v>
      </c>
      <c r="D44" s="3" t="s">
        <v>18</v>
      </c>
      <c r="E44" s="5">
        <v>9979.87</v>
      </c>
      <c r="F44" s="5">
        <v>9259.87</v>
      </c>
      <c r="G44" s="3">
        <v>92070</v>
      </c>
      <c r="H44" s="3">
        <v>2984</v>
      </c>
      <c r="I44" s="3">
        <v>369</v>
      </c>
      <c r="J44" s="5">
        <v>12376.85</v>
      </c>
    </row>
    <row r="45" customHeight="1" spans="1:10">
      <c r="A45" s="3" t="s">
        <v>104</v>
      </c>
      <c r="B45" s="4">
        <v>45652</v>
      </c>
      <c r="C45" s="3" t="s">
        <v>20</v>
      </c>
      <c r="D45" s="3" t="s">
        <v>15</v>
      </c>
      <c r="E45" s="5">
        <v>6073.94</v>
      </c>
      <c r="F45" s="5">
        <v>5546.01</v>
      </c>
      <c r="G45" s="3">
        <v>106358</v>
      </c>
      <c r="H45" s="3">
        <v>1150</v>
      </c>
      <c r="I45" s="3">
        <v>118</v>
      </c>
      <c r="J45" s="5">
        <v>3997.89</v>
      </c>
    </row>
    <row r="46" customHeight="1" spans="1:10">
      <c r="A46" s="3" t="s">
        <v>105</v>
      </c>
      <c r="B46" s="4">
        <v>45653</v>
      </c>
      <c r="C46" s="3" t="s">
        <v>25</v>
      </c>
      <c r="D46" s="3" t="s">
        <v>15</v>
      </c>
      <c r="E46" s="5">
        <v>9096.78</v>
      </c>
      <c r="F46" s="5">
        <v>9226.19</v>
      </c>
      <c r="G46" s="3">
        <v>142353</v>
      </c>
      <c r="H46" s="3">
        <v>4745</v>
      </c>
      <c r="I46" s="3">
        <v>555</v>
      </c>
      <c r="J46" s="5">
        <v>24448.77</v>
      </c>
    </row>
    <row r="47" customHeight="1" spans="1:10">
      <c r="A47" s="3" t="s">
        <v>106</v>
      </c>
      <c r="B47" s="4">
        <v>45653</v>
      </c>
      <c r="C47" s="3" t="s">
        <v>27</v>
      </c>
      <c r="D47" s="3" t="s">
        <v>16</v>
      </c>
      <c r="E47" s="5">
        <v>5200.49</v>
      </c>
      <c r="F47" s="5">
        <v>4953.84</v>
      </c>
      <c r="G47" s="3">
        <v>146830</v>
      </c>
      <c r="H47" s="3">
        <v>6778</v>
      </c>
      <c r="I47" s="3">
        <v>787</v>
      </c>
      <c r="J47" s="5">
        <v>37167.64</v>
      </c>
    </row>
    <row r="48" customHeight="1" spans="1:10">
      <c r="A48" s="3" t="s">
        <v>107</v>
      </c>
      <c r="B48" s="4">
        <v>45653</v>
      </c>
      <c r="C48" s="3" t="s">
        <v>24</v>
      </c>
      <c r="D48" s="3" t="s">
        <v>18</v>
      </c>
      <c r="E48" s="5">
        <v>8535.06</v>
      </c>
      <c r="F48" s="5">
        <v>7644.22</v>
      </c>
      <c r="G48" s="3">
        <v>192331</v>
      </c>
      <c r="H48" s="3">
        <v>2108</v>
      </c>
      <c r="I48" s="3">
        <v>210</v>
      </c>
      <c r="J48" s="5">
        <v>8143.12</v>
      </c>
    </row>
    <row r="49" customHeight="1" spans="1:10">
      <c r="A49" s="3" t="s">
        <v>108</v>
      </c>
      <c r="B49" s="4">
        <v>45654</v>
      </c>
      <c r="C49" s="3" t="s">
        <v>25</v>
      </c>
      <c r="D49" s="3" t="s">
        <v>18</v>
      </c>
      <c r="E49" s="5">
        <v>5608.82</v>
      </c>
      <c r="F49" s="5">
        <v>4924.13</v>
      </c>
      <c r="G49" s="3">
        <v>146101</v>
      </c>
      <c r="H49" s="3">
        <v>1999</v>
      </c>
      <c r="I49" s="3">
        <v>79</v>
      </c>
      <c r="J49" s="5">
        <v>3294.51</v>
      </c>
    </row>
    <row r="50" customHeight="1" spans="1:10">
      <c r="A50" s="3" t="s">
        <v>109</v>
      </c>
      <c r="B50" s="4">
        <v>45654</v>
      </c>
      <c r="C50" s="3" t="s">
        <v>26</v>
      </c>
      <c r="D50" s="3" t="s">
        <v>16</v>
      </c>
      <c r="E50" s="5">
        <v>5444.47</v>
      </c>
      <c r="F50" s="5">
        <v>5541.31</v>
      </c>
      <c r="G50" s="3">
        <v>180933</v>
      </c>
      <c r="H50" s="3">
        <v>2435</v>
      </c>
      <c r="I50" s="3">
        <v>256</v>
      </c>
      <c r="J50" s="5">
        <v>12009.81</v>
      </c>
    </row>
    <row r="51" customHeight="1" spans="1:10">
      <c r="A51" s="3" t="s">
        <v>110</v>
      </c>
      <c r="B51" s="4">
        <v>45654</v>
      </c>
      <c r="C51" s="3" t="s">
        <v>25</v>
      </c>
      <c r="D51" s="3" t="s">
        <v>17</v>
      </c>
      <c r="E51" s="5">
        <v>3399.61</v>
      </c>
      <c r="F51" s="5">
        <v>3261.42</v>
      </c>
      <c r="G51" s="3">
        <v>75127</v>
      </c>
      <c r="H51" s="3">
        <v>3158</v>
      </c>
      <c r="I51" s="3">
        <v>620</v>
      </c>
      <c r="J51" s="5">
        <v>29820.87</v>
      </c>
    </row>
    <row r="52" customHeight="1" spans="1:10">
      <c r="A52" s="3" t="s">
        <v>111</v>
      </c>
      <c r="B52" s="4">
        <v>45655</v>
      </c>
      <c r="C52" s="3" t="s">
        <v>27</v>
      </c>
      <c r="D52" s="3" t="s">
        <v>18</v>
      </c>
      <c r="E52" s="5">
        <v>8710.83</v>
      </c>
      <c r="F52" s="5">
        <v>7555.18</v>
      </c>
      <c r="G52" s="3">
        <v>117796</v>
      </c>
      <c r="H52" s="3">
        <v>2015</v>
      </c>
      <c r="I52" s="3">
        <v>234</v>
      </c>
      <c r="J52" s="5">
        <v>6251.2</v>
      </c>
    </row>
    <row r="53" customHeight="1" spans="1:10">
      <c r="A53" s="3" t="s">
        <v>112</v>
      </c>
      <c r="B53" s="4">
        <v>45655</v>
      </c>
      <c r="C53" s="3" t="s">
        <v>24</v>
      </c>
      <c r="D53" s="3" t="s">
        <v>17</v>
      </c>
      <c r="E53" s="5">
        <v>8989.88</v>
      </c>
      <c r="F53" s="5">
        <v>9430.98</v>
      </c>
      <c r="G53" s="3">
        <v>152642</v>
      </c>
      <c r="H53" s="3">
        <v>2474</v>
      </c>
      <c r="I53" s="3">
        <v>292</v>
      </c>
      <c r="J53" s="5">
        <v>9319.33</v>
      </c>
    </row>
    <row r="54" customHeight="1" spans="1:10">
      <c r="A54" s="3" t="s">
        <v>113</v>
      </c>
      <c r="B54" s="4">
        <v>45655</v>
      </c>
      <c r="C54" s="3" t="s">
        <v>24</v>
      </c>
      <c r="D54" s="3" t="s">
        <v>17</v>
      </c>
      <c r="E54" s="5">
        <v>4144.67</v>
      </c>
      <c r="F54" s="5">
        <v>3802.01</v>
      </c>
      <c r="G54" s="3">
        <v>111392</v>
      </c>
      <c r="H54" s="3">
        <v>4309</v>
      </c>
      <c r="I54" s="3">
        <v>82</v>
      </c>
      <c r="J54" s="5">
        <v>4024.75</v>
      </c>
    </row>
    <row r="55" customHeight="1" spans="1:10">
      <c r="A55" s="3" t="s">
        <v>114</v>
      </c>
      <c r="B55" s="4">
        <v>45656</v>
      </c>
      <c r="C55" s="3" t="s">
        <v>25</v>
      </c>
      <c r="D55" s="3" t="s">
        <v>16</v>
      </c>
      <c r="E55" s="5">
        <v>8524.2</v>
      </c>
      <c r="F55" s="5">
        <v>8094.01</v>
      </c>
      <c r="G55" s="3">
        <v>57737</v>
      </c>
      <c r="H55" s="3">
        <v>1530</v>
      </c>
      <c r="I55" s="3">
        <v>286</v>
      </c>
      <c r="J55" s="5">
        <v>6465.78</v>
      </c>
    </row>
    <row r="56" customHeight="1" spans="1:10">
      <c r="A56" s="3" t="s">
        <v>115</v>
      </c>
      <c r="B56" s="4">
        <v>45656</v>
      </c>
      <c r="C56" s="3" t="s">
        <v>24</v>
      </c>
      <c r="D56" s="3" t="s">
        <v>16</v>
      </c>
      <c r="E56" s="5">
        <v>8802.41</v>
      </c>
      <c r="F56" s="5">
        <v>7139.65</v>
      </c>
      <c r="G56" s="3">
        <v>135367</v>
      </c>
      <c r="H56" s="3">
        <v>1109</v>
      </c>
      <c r="I56" s="3">
        <v>182</v>
      </c>
      <c r="J56" s="5">
        <v>6895.63</v>
      </c>
    </row>
    <row r="57" customHeight="1" spans="1:10">
      <c r="A57" s="3" t="s">
        <v>116</v>
      </c>
      <c r="B57" s="4">
        <v>45657</v>
      </c>
      <c r="C57" s="3" t="s">
        <v>24</v>
      </c>
      <c r="D57" s="3" t="s">
        <v>17</v>
      </c>
      <c r="E57" s="5">
        <v>5346.38</v>
      </c>
      <c r="F57" s="5">
        <v>5564.81</v>
      </c>
      <c r="G57" s="3">
        <v>67097</v>
      </c>
      <c r="H57" s="3">
        <v>1613</v>
      </c>
      <c r="I57" s="3">
        <v>258</v>
      </c>
      <c r="J57" s="5">
        <v>5195.85</v>
      </c>
    </row>
    <row r="58" customHeight="1" spans="1:10">
      <c r="A58" s="3" t="s">
        <v>117</v>
      </c>
      <c r="B58" s="4">
        <v>45658</v>
      </c>
      <c r="C58" s="3" t="s">
        <v>26</v>
      </c>
      <c r="D58" s="3" t="s">
        <v>16</v>
      </c>
      <c r="E58" s="5">
        <v>3291.01</v>
      </c>
      <c r="F58" s="5">
        <v>2779.27</v>
      </c>
      <c r="G58" s="3">
        <v>74195</v>
      </c>
      <c r="H58" s="3">
        <v>2526</v>
      </c>
      <c r="I58" s="3">
        <v>392</v>
      </c>
      <c r="J58" s="5">
        <v>19442.77</v>
      </c>
    </row>
    <row r="59" customHeight="1" spans="1:10">
      <c r="A59" s="3" t="s">
        <v>118</v>
      </c>
      <c r="B59" s="4">
        <v>45658</v>
      </c>
      <c r="C59" s="3" t="s">
        <v>26</v>
      </c>
      <c r="D59" s="3" t="s">
        <v>16</v>
      </c>
      <c r="E59" s="5">
        <v>5640.99</v>
      </c>
      <c r="F59" s="5">
        <v>4546.76</v>
      </c>
      <c r="G59" s="3">
        <v>53730</v>
      </c>
      <c r="H59" s="3">
        <v>2251</v>
      </c>
      <c r="I59" s="3">
        <v>253</v>
      </c>
      <c r="J59" s="5">
        <v>7504.58</v>
      </c>
    </row>
    <row r="60" customHeight="1" spans="1:10">
      <c r="A60" s="3" t="s">
        <v>119</v>
      </c>
      <c r="B60" s="4">
        <v>45659</v>
      </c>
      <c r="C60" s="3" t="s">
        <v>25</v>
      </c>
      <c r="D60" s="3" t="s">
        <v>16</v>
      </c>
      <c r="E60" s="5">
        <v>8076.8</v>
      </c>
      <c r="F60" s="5">
        <v>7640.66</v>
      </c>
      <c r="G60" s="3">
        <v>148415</v>
      </c>
      <c r="H60" s="3">
        <v>5679</v>
      </c>
      <c r="I60" s="3">
        <v>1058</v>
      </c>
      <c r="J60" s="5">
        <v>48882.45</v>
      </c>
    </row>
    <row r="61" customHeight="1" spans="1:10">
      <c r="A61" s="3" t="s">
        <v>120</v>
      </c>
      <c r="B61" s="4">
        <v>45661</v>
      </c>
      <c r="C61" s="3" t="s">
        <v>27</v>
      </c>
      <c r="D61" s="3" t="s">
        <v>18</v>
      </c>
      <c r="E61" s="5">
        <v>5861.14</v>
      </c>
      <c r="F61" s="5">
        <v>4733.55</v>
      </c>
      <c r="G61" s="3">
        <v>195477</v>
      </c>
      <c r="H61" s="3">
        <v>3560</v>
      </c>
      <c r="I61" s="3">
        <v>118</v>
      </c>
      <c r="J61" s="5">
        <v>2912.78</v>
      </c>
    </row>
    <row r="62" customHeight="1" spans="1:10">
      <c r="A62" s="3" t="s">
        <v>121</v>
      </c>
      <c r="B62" s="4">
        <v>45661</v>
      </c>
      <c r="C62" s="3" t="s">
        <v>25</v>
      </c>
      <c r="D62" s="3" t="s">
        <v>18</v>
      </c>
      <c r="E62" s="5">
        <v>3831.73</v>
      </c>
      <c r="F62" s="5">
        <v>3200.48</v>
      </c>
      <c r="G62" s="3">
        <v>187830</v>
      </c>
      <c r="H62" s="3">
        <v>5038</v>
      </c>
      <c r="I62" s="3">
        <v>56</v>
      </c>
      <c r="J62" s="5">
        <v>2210.67</v>
      </c>
    </row>
    <row r="63" customHeight="1" spans="1:10">
      <c r="A63" s="3" t="s">
        <v>122</v>
      </c>
      <c r="B63" s="4">
        <v>45662</v>
      </c>
      <c r="C63" s="3" t="s">
        <v>24</v>
      </c>
      <c r="D63" s="3" t="s">
        <v>18</v>
      </c>
      <c r="E63" s="5">
        <v>5545.41</v>
      </c>
      <c r="F63" s="5">
        <v>6053.01</v>
      </c>
      <c r="G63" s="3">
        <v>175219</v>
      </c>
      <c r="H63" s="3">
        <v>4802</v>
      </c>
      <c r="I63" s="3">
        <v>292</v>
      </c>
      <c r="J63" s="5">
        <v>14271.04</v>
      </c>
    </row>
    <row r="64" customHeight="1" spans="1:10">
      <c r="A64" s="3" t="s">
        <v>123</v>
      </c>
      <c r="B64" s="4">
        <v>45662</v>
      </c>
      <c r="C64" s="3" t="s">
        <v>26</v>
      </c>
      <c r="D64" s="3" t="s">
        <v>16</v>
      </c>
      <c r="E64" s="5">
        <v>8665.53</v>
      </c>
      <c r="F64" s="5">
        <v>9038.44</v>
      </c>
      <c r="G64" s="3">
        <v>126153</v>
      </c>
      <c r="H64" s="3">
        <v>6045</v>
      </c>
      <c r="I64" s="3">
        <v>748</v>
      </c>
      <c r="J64" s="5">
        <v>34417.1</v>
      </c>
    </row>
    <row r="65" customHeight="1" spans="1:10">
      <c r="A65" s="3" t="s">
        <v>124</v>
      </c>
      <c r="B65" s="4">
        <v>45663</v>
      </c>
      <c r="C65" s="3" t="s">
        <v>25</v>
      </c>
      <c r="D65" s="3" t="s">
        <v>16</v>
      </c>
      <c r="E65" s="5">
        <v>3079.48</v>
      </c>
      <c r="F65" s="5">
        <v>2896.55</v>
      </c>
      <c r="G65" s="3">
        <v>70782</v>
      </c>
      <c r="H65" s="3">
        <v>3197</v>
      </c>
      <c r="I65" s="3">
        <v>540</v>
      </c>
      <c r="J65" s="5">
        <v>11712.11</v>
      </c>
    </row>
    <row r="66" customHeight="1" spans="1:10">
      <c r="A66" s="3" t="s">
        <v>125</v>
      </c>
      <c r="B66" s="4">
        <v>45663</v>
      </c>
      <c r="C66" s="3" t="s">
        <v>25</v>
      </c>
      <c r="D66" s="3" t="s">
        <v>17</v>
      </c>
      <c r="E66" s="5">
        <v>7655.26</v>
      </c>
      <c r="F66" s="5">
        <v>6526.96</v>
      </c>
      <c r="G66" s="3">
        <v>95395</v>
      </c>
      <c r="H66" s="3">
        <v>4443</v>
      </c>
      <c r="I66" s="3">
        <v>353</v>
      </c>
      <c r="J66" s="5">
        <v>16743.62</v>
      </c>
    </row>
    <row r="67" customHeight="1" spans="1:10">
      <c r="A67" s="3" t="s">
        <v>126</v>
      </c>
      <c r="B67" s="4">
        <v>45663</v>
      </c>
      <c r="C67" s="3" t="s">
        <v>27</v>
      </c>
      <c r="D67" s="3" t="s">
        <v>18</v>
      </c>
      <c r="E67" s="5">
        <v>9438.99</v>
      </c>
      <c r="F67" s="5">
        <v>8531.94</v>
      </c>
      <c r="G67" s="3">
        <v>178702</v>
      </c>
      <c r="H67" s="3">
        <v>4580</v>
      </c>
      <c r="I67" s="3">
        <v>285</v>
      </c>
      <c r="J67" s="5">
        <v>8666.45</v>
      </c>
    </row>
    <row r="68" customHeight="1" spans="1:10">
      <c r="A68" s="3" t="s">
        <v>127</v>
      </c>
      <c r="B68" s="4">
        <v>45663</v>
      </c>
      <c r="C68" s="3" t="s">
        <v>24</v>
      </c>
      <c r="D68" s="3" t="s">
        <v>16</v>
      </c>
      <c r="E68" s="5">
        <v>8370.32</v>
      </c>
      <c r="F68" s="5">
        <v>7705.54</v>
      </c>
      <c r="G68" s="3">
        <v>170434</v>
      </c>
      <c r="H68" s="3">
        <v>6373</v>
      </c>
      <c r="I68" s="3">
        <v>533</v>
      </c>
      <c r="J68" s="5">
        <v>18333.21</v>
      </c>
    </row>
    <row r="69" customHeight="1" spans="1:10">
      <c r="A69" s="3" t="s">
        <v>128</v>
      </c>
      <c r="B69" s="4">
        <v>45664</v>
      </c>
      <c r="C69" s="3" t="s">
        <v>26</v>
      </c>
      <c r="D69" s="3" t="s">
        <v>17</v>
      </c>
      <c r="E69" s="5">
        <v>6975.62</v>
      </c>
      <c r="F69" s="5">
        <v>7496.33</v>
      </c>
      <c r="G69" s="3">
        <v>158533</v>
      </c>
      <c r="H69" s="3">
        <v>6076</v>
      </c>
      <c r="I69" s="3">
        <v>478</v>
      </c>
      <c r="J69" s="5">
        <v>10046.79</v>
      </c>
    </row>
    <row r="70" customHeight="1" spans="1:10">
      <c r="A70" s="3" t="s">
        <v>129</v>
      </c>
      <c r="B70" s="4">
        <v>45665</v>
      </c>
      <c r="C70" s="3" t="s">
        <v>27</v>
      </c>
      <c r="D70" s="3" t="s">
        <v>17</v>
      </c>
      <c r="E70" s="5">
        <v>5613.17</v>
      </c>
      <c r="F70" s="5">
        <v>4946.46</v>
      </c>
      <c r="G70" s="3">
        <v>112356</v>
      </c>
      <c r="H70" s="3">
        <v>4894</v>
      </c>
      <c r="I70" s="3">
        <v>191</v>
      </c>
      <c r="J70" s="5">
        <v>7510.12</v>
      </c>
    </row>
    <row r="71" customHeight="1" spans="1:10">
      <c r="A71" s="3" t="s">
        <v>130</v>
      </c>
      <c r="B71" s="4">
        <v>45665</v>
      </c>
      <c r="C71" s="3" t="s">
        <v>27</v>
      </c>
      <c r="D71" s="3" t="s">
        <v>16</v>
      </c>
      <c r="E71" s="5">
        <v>8406.23</v>
      </c>
      <c r="F71" s="5">
        <v>8036.77</v>
      </c>
      <c r="G71" s="3">
        <v>133482</v>
      </c>
      <c r="H71" s="3">
        <v>2397</v>
      </c>
      <c r="I71" s="3">
        <v>50</v>
      </c>
      <c r="J71" s="5">
        <v>2278.27</v>
      </c>
    </row>
    <row r="72" customHeight="1" spans="1:10">
      <c r="A72" s="3" t="s">
        <v>131</v>
      </c>
      <c r="B72" s="4">
        <v>45666</v>
      </c>
      <c r="C72" s="3" t="s">
        <v>26</v>
      </c>
      <c r="D72" s="3" t="s">
        <v>16</v>
      </c>
      <c r="E72" s="5">
        <v>4173.33</v>
      </c>
      <c r="F72" s="5">
        <v>3384.58</v>
      </c>
      <c r="G72" s="3">
        <v>197974</v>
      </c>
      <c r="H72" s="3">
        <v>4601</v>
      </c>
      <c r="I72" s="3">
        <v>675</v>
      </c>
      <c r="J72" s="5">
        <v>28412.14</v>
      </c>
    </row>
    <row r="73" customHeight="1" spans="1:10">
      <c r="A73" s="3" t="s">
        <v>132</v>
      </c>
      <c r="B73" s="4">
        <v>45667</v>
      </c>
      <c r="C73" s="3" t="s">
        <v>26</v>
      </c>
      <c r="D73" s="3" t="s">
        <v>15</v>
      </c>
      <c r="E73" s="5">
        <v>4729.72</v>
      </c>
      <c r="F73" s="5">
        <v>4010.16</v>
      </c>
      <c r="G73" s="3">
        <v>84930</v>
      </c>
      <c r="H73" s="3">
        <v>1915</v>
      </c>
      <c r="I73" s="3">
        <v>303</v>
      </c>
      <c r="J73" s="5">
        <v>13984.51</v>
      </c>
    </row>
    <row r="74" customHeight="1" spans="1:10">
      <c r="A74" s="3" t="s">
        <v>133</v>
      </c>
      <c r="B74" s="4">
        <v>45667</v>
      </c>
      <c r="C74" s="3" t="s">
        <v>27</v>
      </c>
      <c r="D74" s="3" t="s">
        <v>18</v>
      </c>
      <c r="E74" s="5">
        <v>7310.95</v>
      </c>
      <c r="F74" s="5">
        <v>7241.7</v>
      </c>
      <c r="G74" s="3">
        <v>196304</v>
      </c>
      <c r="H74" s="3">
        <v>8710</v>
      </c>
      <c r="I74" s="3">
        <v>965</v>
      </c>
      <c r="J74" s="5">
        <v>20611.55</v>
      </c>
    </row>
    <row r="75" customHeight="1" spans="1:10">
      <c r="A75" s="3" t="s">
        <v>134</v>
      </c>
      <c r="B75" s="4">
        <v>45667</v>
      </c>
      <c r="C75" s="3" t="s">
        <v>26</v>
      </c>
      <c r="D75" s="3" t="s">
        <v>18</v>
      </c>
      <c r="E75" s="5">
        <v>5565.23</v>
      </c>
      <c r="F75" s="5">
        <v>5113.62</v>
      </c>
      <c r="G75" s="3">
        <v>67169</v>
      </c>
      <c r="H75" s="3">
        <v>1577</v>
      </c>
      <c r="I75" s="3">
        <v>305</v>
      </c>
      <c r="J75" s="5">
        <v>12463.52</v>
      </c>
    </row>
    <row r="76" customHeight="1" spans="1:10">
      <c r="A76" s="3" t="s">
        <v>135</v>
      </c>
      <c r="B76" s="4">
        <v>45667</v>
      </c>
      <c r="C76" s="3" t="s">
        <v>20</v>
      </c>
      <c r="D76" s="3" t="s">
        <v>17</v>
      </c>
      <c r="E76" s="5">
        <v>7704.95</v>
      </c>
      <c r="F76" s="5">
        <v>7924.43</v>
      </c>
      <c r="G76" s="3">
        <v>77537</v>
      </c>
      <c r="H76" s="3">
        <v>3060</v>
      </c>
      <c r="I76" s="3">
        <v>221</v>
      </c>
      <c r="J76" s="5">
        <v>5995.54</v>
      </c>
    </row>
    <row r="77" customHeight="1" spans="1:10">
      <c r="A77" s="3" t="s">
        <v>136</v>
      </c>
      <c r="B77" s="4">
        <v>45667</v>
      </c>
      <c r="C77" s="3" t="s">
        <v>24</v>
      </c>
      <c r="D77" s="3" t="s">
        <v>16</v>
      </c>
      <c r="E77" s="5">
        <v>4941.67</v>
      </c>
      <c r="F77" s="5">
        <v>4232.23</v>
      </c>
      <c r="G77" s="3">
        <v>197753</v>
      </c>
      <c r="H77" s="3">
        <v>3883</v>
      </c>
      <c r="I77" s="3">
        <v>619</v>
      </c>
      <c r="J77" s="5">
        <v>20990.88</v>
      </c>
    </row>
    <row r="78" customHeight="1" spans="1:10">
      <c r="A78" s="3" t="s">
        <v>137</v>
      </c>
      <c r="B78" s="4">
        <v>45667</v>
      </c>
      <c r="C78" s="3" t="s">
        <v>27</v>
      </c>
      <c r="D78" s="3" t="s">
        <v>18</v>
      </c>
      <c r="E78" s="5">
        <v>3902.09</v>
      </c>
      <c r="F78" s="5">
        <v>3513.97</v>
      </c>
      <c r="G78" s="3">
        <v>197025</v>
      </c>
      <c r="H78" s="3">
        <v>6420</v>
      </c>
      <c r="I78" s="3">
        <v>253</v>
      </c>
      <c r="J78" s="5">
        <v>10703.23</v>
      </c>
    </row>
    <row r="79" customHeight="1" spans="1:10">
      <c r="A79" s="3" t="s">
        <v>138</v>
      </c>
      <c r="B79" s="4">
        <v>45668</v>
      </c>
      <c r="C79" s="3" t="s">
        <v>26</v>
      </c>
      <c r="D79" s="3" t="s">
        <v>16</v>
      </c>
      <c r="E79" s="5">
        <v>7462.01</v>
      </c>
      <c r="F79" s="5">
        <v>7595.04</v>
      </c>
      <c r="G79" s="3">
        <v>189630</v>
      </c>
      <c r="H79" s="3">
        <v>2389</v>
      </c>
      <c r="I79" s="3">
        <v>268</v>
      </c>
      <c r="J79" s="5">
        <v>13205.85</v>
      </c>
    </row>
    <row r="80" customHeight="1" spans="1:10">
      <c r="A80" s="3" t="s">
        <v>139</v>
      </c>
      <c r="B80" s="4">
        <v>45668</v>
      </c>
      <c r="C80" s="3" t="s">
        <v>25</v>
      </c>
      <c r="D80" s="3" t="s">
        <v>18</v>
      </c>
      <c r="E80" s="5">
        <v>8162.51</v>
      </c>
      <c r="F80" s="5">
        <v>7637.38</v>
      </c>
      <c r="G80" s="3">
        <v>70461</v>
      </c>
      <c r="H80" s="3">
        <v>2962</v>
      </c>
      <c r="I80" s="3">
        <v>302</v>
      </c>
      <c r="J80" s="5">
        <v>8074.92</v>
      </c>
    </row>
    <row r="81" customHeight="1" spans="1:10">
      <c r="A81" s="3" t="s">
        <v>140</v>
      </c>
      <c r="B81" s="4">
        <v>45668</v>
      </c>
      <c r="C81" s="3" t="s">
        <v>20</v>
      </c>
      <c r="D81" s="3" t="s">
        <v>18</v>
      </c>
      <c r="E81" s="5">
        <v>3261.44</v>
      </c>
      <c r="F81" s="5">
        <v>3414.01</v>
      </c>
      <c r="G81" s="3">
        <v>121100</v>
      </c>
      <c r="H81" s="3">
        <v>4154</v>
      </c>
      <c r="I81" s="3">
        <v>712</v>
      </c>
      <c r="J81" s="5">
        <v>21933.67</v>
      </c>
    </row>
    <row r="82" customHeight="1" spans="1:10">
      <c r="A82" s="3" t="s">
        <v>141</v>
      </c>
      <c r="B82" s="4">
        <v>45668</v>
      </c>
      <c r="C82" s="3" t="s">
        <v>25</v>
      </c>
      <c r="D82" s="3" t="s">
        <v>16</v>
      </c>
      <c r="E82" s="5">
        <v>8222.31</v>
      </c>
      <c r="F82" s="5">
        <v>8016.84</v>
      </c>
      <c r="G82" s="3">
        <v>77085</v>
      </c>
      <c r="H82" s="3">
        <v>2592</v>
      </c>
      <c r="I82" s="3">
        <v>460</v>
      </c>
      <c r="J82" s="5">
        <v>22477.98</v>
      </c>
    </row>
    <row r="83" customHeight="1" spans="1:10">
      <c r="A83" s="3" t="s">
        <v>142</v>
      </c>
      <c r="B83" s="4">
        <v>45669</v>
      </c>
      <c r="C83" s="3" t="s">
        <v>24</v>
      </c>
      <c r="D83" s="3" t="s">
        <v>16</v>
      </c>
      <c r="E83" s="5">
        <v>4371.88</v>
      </c>
      <c r="F83" s="5">
        <v>3556.82</v>
      </c>
      <c r="G83" s="3">
        <v>134800</v>
      </c>
      <c r="H83" s="3">
        <v>4917</v>
      </c>
      <c r="I83" s="3">
        <v>128</v>
      </c>
      <c r="J83" s="5">
        <v>3809.27</v>
      </c>
    </row>
    <row r="84" customHeight="1" spans="1:10">
      <c r="A84" s="3" t="s">
        <v>143</v>
      </c>
      <c r="B84" s="4">
        <v>45670</v>
      </c>
      <c r="C84" s="3" t="s">
        <v>25</v>
      </c>
      <c r="D84" s="3" t="s">
        <v>17</v>
      </c>
      <c r="E84" s="5">
        <v>4266.84</v>
      </c>
      <c r="F84" s="5">
        <v>4507.13</v>
      </c>
      <c r="G84" s="3">
        <v>91032</v>
      </c>
      <c r="H84" s="3">
        <v>3308</v>
      </c>
      <c r="I84" s="3">
        <v>330</v>
      </c>
      <c r="J84" s="5">
        <v>11473.55</v>
      </c>
    </row>
    <row r="85" customHeight="1" spans="1:10">
      <c r="A85" s="3" t="s">
        <v>144</v>
      </c>
      <c r="B85" s="4">
        <v>45671</v>
      </c>
      <c r="C85" s="3" t="s">
        <v>24</v>
      </c>
      <c r="D85" s="3" t="s">
        <v>15</v>
      </c>
      <c r="E85" s="5">
        <v>4534.5</v>
      </c>
      <c r="F85" s="5">
        <v>4955.12</v>
      </c>
      <c r="G85" s="3">
        <v>120822</v>
      </c>
      <c r="H85" s="3">
        <v>1992</v>
      </c>
      <c r="I85" s="3">
        <v>277</v>
      </c>
      <c r="J85" s="5">
        <v>8339.6</v>
      </c>
    </row>
    <row r="86" customHeight="1" spans="1:10">
      <c r="A86" s="3" t="s">
        <v>145</v>
      </c>
      <c r="B86" s="4">
        <v>45671</v>
      </c>
      <c r="C86" s="3" t="s">
        <v>26</v>
      </c>
      <c r="D86" s="3" t="s">
        <v>18</v>
      </c>
      <c r="E86" s="5">
        <v>9583.21</v>
      </c>
      <c r="F86" s="5">
        <v>10409.08</v>
      </c>
      <c r="G86" s="3">
        <v>188008</v>
      </c>
      <c r="H86" s="3">
        <v>8592</v>
      </c>
      <c r="I86" s="3">
        <v>165</v>
      </c>
      <c r="J86" s="5">
        <v>7828.58</v>
      </c>
    </row>
    <row r="87" customHeight="1" spans="1:10">
      <c r="A87" s="3" t="s">
        <v>146</v>
      </c>
      <c r="B87" s="4">
        <v>45671</v>
      </c>
      <c r="C87" s="3" t="s">
        <v>27</v>
      </c>
      <c r="D87" s="3" t="s">
        <v>16</v>
      </c>
      <c r="E87" s="5">
        <v>3770.36</v>
      </c>
      <c r="F87" s="5">
        <v>3274.11</v>
      </c>
      <c r="G87" s="3">
        <v>179996</v>
      </c>
      <c r="H87" s="3">
        <v>8814</v>
      </c>
      <c r="I87" s="3">
        <v>1350</v>
      </c>
      <c r="J87" s="5">
        <v>44297.87</v>
      </c>
    </row>
    <row r="88" customHeight="1" spans="1:10">
      <c r="A88" s="3" t="s">
        <v>147</v>
      </c>
      <c r="B88" s="4">
        <v>45672</v>
      </c>
      <c r="C88" s="3" t="s">
        <v>26</v>
      </c>
      <c r="D88" s="3" t="s">
        <v>15</v>
      </c>
      <c r="E88" s="5">
        <v>6081.07</v>
      </c>
      <c r="F88" s="5">
        <v>5087.49</v>
      </c>
      <c r="G88" s="3">
        <v>126413</v>
      </c>
      <c r="H88" s="3">
        <v>3059</v>
      </c>
      <c r="I88" s="3">
        <v>58</v>
      </c>
      <c r="J88" s="5">
        <v>2021.61</v>
      </c>
    </row>
    <row r="89" customHeight="1" spans="1:10">
      <c r="A89" s="3" t="s">
        <v>148</v>
      </c>
      <c r="B89" s="4">
        <v>45672</v>
      </c>
      <c r="C89" s="3" t="s">
        <v>27</v>
      </c>
      <c r="D89" s="3" t="s">
        <v>15</v>
      </c>
      <c r="E89" s="5">
        <v>3734.51</v>
      </c>
      <c r="F89" s="5">
        <v>3258.78</v>
      </c>
      <c r="G89" s="3">
        <v>188031</v>
      </c>
      <c r="H89" s="3">
        <v>2257</v>
      </c>
      <c r="I89" s="3">
        <v>398</v>
      </c>
      <c r="J89" s="5">
        <v>19740.75</v>
      </c>
    </row>
    <row r="90" customHeight="1" spans="1:10">
      <c r="A90" s="3" t="s">
        <v>149</v>
      </c>
      <c r="B90" s="4">
        <v>45673</v>
      </c>
      <c r="C90" s="3" t="s">
        <v>26</v>
      </c>
      <c r="D90" s="3" t="s">
        <v>15</v>
      </c>
      <c r="E90" s="5">
        <v>6819.32</v>
      </c>
      <c r="F90" s="5">
        <v>7381.5</v>
      </c>
      <c r="G90" s="3">
        <v>53378</v>
      </c>
      <c r="H90" s="3">
        <v>2137</v>
      </c>
      <c r="I90" s="3">
        <v>410</v>
      </c>
      <c r="J90" s="5">
        <v>12949.06</v>
      </c>
    </row>
    <row r="91" customHeight="1" spans="1:10">
      <c r="A91" s="3" t="s">
        <v>150</v>
      </c>
      <c r="B91" s="4">
        <v>45673</v>
      </c>
      <c r="C91" s="3" t="s">
        <v>20</v>
      </c>
      <c r="D91" s="3" t="s">
        <v>18</v>
      </c>
      <c r="E91" s="5">
        <v>7354.61</v>
      </c>
      <c r="F91" s="5">
        <v>7786.39</v>
      </c>
      <c r="G91" s="3">
        <v>76227</v>
      </c>
      <c r="H91" s="3">
        <v>3059</v>
      </c>
      <c r="I91" s="3">
        <v>504</v>
      </c>
      <c r="J91" s="5">
        <v>24436.75</v>
      </c>
    </row>
    <row r="92" customHeight="1" spans="1:10">
      <c r="A92" s="3" t="s">
        <v>151</v>
      </c>
      <c r="B92" s="4">
        <v>45674</v>
      </c>
      <c r="C92" s="3" t="s">
        <v>25</v>
      </c>
      <c r="D92" s="3" t="s">
        <v>16</v>
      </c>
      <c r="E92" s="5">
        <v>9516.64</v>
      </c>
      <c r="F92" s="5">
        <v>9581.91</v>
      </c>
      <c r="G92" s="3">
        <v>84687</v>
      </c>
      <c r="H92" s="3">
        <v>2681</v>
      </c>
      <c r="I92" s="3">
        <v>448</v>
      </c>
      <c r="J92" s="5">
        <v>18052.34</v>
      </c>
    </row>
    <row r="93" customHeight="1" spans="1:10">
      <c r="A93" s="3" t="s">
        <v>152</v>
      </c>
      <c r="B93" s="4">
        <v>45674</v>
      </c>
      <c r="C93" s="3" t="s">
        <v>20</v>
      </c>
      <c r="D93" s="3" t="s">
        <v>16</v>
      </c>
      <c r="E93" s="5">
        <v>8944.56</v>
      </c>
      <c r="F93" s="5">
        <v>8920.27</v>
      </c>
      <c r="G93" s="3">
        <v>107709</v>
      </c>
      <c r="H93" s="3">
        <v>2586</v>
      </c>
      <c r="I93" s="3">
        <v>314</v>
      </c>
      <c r="J93" s="5">
        <v>11633.47</v>
      </c>
    </row>
    <row r="94" customHeight="1" spans="1:10">
      <c r="A94" s="3" t="s">
        <v>153</v>
      </c>
      <c r="B94" s="4">
        <v>45674</v>
      </c>
      <c r="C94" s="3" t="s">
        <v>20</v>
      </c>
      <c r="D94" s="3" t="s">
        <v>17</v>
      </c>
      <c r="E94" s="5">
        <v>7190.61</v>
      </c>
      <c r="F94" s="5">
        <v>6089.05</v>
      </c>
      <c r="G94" s="3">
        <v>64473</v>
      </c>
      <c r="H94" s="3">
        <v>1120</v>
      </c>
      <c r="I94" s="3">
        <v>72</v>
      </c>
      <c r="J94" s="5">
        <v>1776.95</v>
      </c>
    </row>
    <row r="95" customHeight="1" spans="1:10">
      <c r="A95" s="3" t="s">
        <v>154</v>
      </c>
      <c r="B95" s="4">
        <v>45674</v>
      </c>
      <c r="C95" s="3" t="s">
        <v>26</v>
      </c>
      <c r="D95" s="3" t="s">
        <v>16</v>
      </c>
      <c r="E95" s="5">
        <v>3275.4</v>
      </c>
      <c r="F95" s="5">
        <v>2740.31</v>
      </c>
      <c r="G95" s="3">
        <v>65706</v>
      </c>
      <c r="H95" s="3">
        <v>3012</v>
      </c>
      <c r="I95" s="3">
        <v>475</v>
      </c>
      <c r="J95" s="5">
        <v>15943.84</v>
      </c>
    </row>
    <row r="96" customHeight="1" spans="1:10">
      <c r="A96" s="3" t="s">
        <v>155</v>
      </c>
      <c r="B96" s="4">
        <v>45674</v>
      </c>
      <c r="C96" s="3" t="s">
        <v>24</v>
      </c>
      <c r="D96" s="3" t="s">
        <v>15</v>
      </c>
      <c r="E96" s="5">
        <v>7434.71</v>
      </c>
      <c r="F96" s="5">
        <v>7142.77</v>
      </c>
      <c r="G96" s="3">
        <v>102718</v>
      </c>
      <c r="H96" s="3">
        <v>2206</v>
      </c>
      <c r="I96" s="3">
        <v>152</v>
      </c>
      <c r="J96" s="5">
        <v>3451.72</v>
      </c>
    </row>
    <row r="97" customHeight="1" spans="1:10">
      <c r="A97" s="3" t="s">
        <v>156</v>
      </c>
      <c r="B97" s="4">
        <v>45675</v>
      </c>
      <c r="C97" s="3" t="s">
        <v>27</v>
      </c>
      <c r="D97" s="3" t="s">
        <v>15</v>
      </c>
      <c r="E97" s="5">
        <v>6186.54</v>
      </c>
      <c r="F97" s="5">
        <v>4970.8</v>
      </c>
      <c r="G97" s="3">
        <v>131046</v>
      </c>
      <c r="H97" s="3">
        <v>6398</v>
      </c>
      <c r="I97" s="3">
        <v>1049</v>
      </c>
      <c r="J97" s="5">
        <v>23259.9</v>
      </c>
    </row>
    <row r="98" customHeight="1" spans="1:10">
      <c r="A98" s="3" t="s">
        <v>157</v>
      </c>
      <c r="B98" s="4">
        <v>45675</v>
      </c>
      <c r="C98" s="3" t="s">
        <v>25</v>
      </c>
      <c r="D98" s="3" t="s">
        <v>15</v>
      </c>
      <c r="E98" s="5">
        <v>5657.85</v>
      </c>
      <c r="F98" s="5">
        <v>5528.22</v>
      </c>
      <c r="G98" s="3">
        <v>131078</v>
      </c>
      <c r="H98" s="3">
        <v>4550</v>
      </c>
      <c r="I98" s="3">
        <v>114</v>
      </c>
      <c r="J98" s="5">
        <v>3196.78</v>
      </c>
    </row>
    <row r="99" customHeight="1" spans="1:10">
      <c r="A99" s="3" t="s">
        <v>158</v>
      </c>
      <c r="B99" s="4">
        <v>45675</v>
      </c>
      <c r="C99" s="3" t="s">
        <v>24</v>
      </c>
      <c r="D99" s="3" t="s">
        <v>16</v>
      </c>
      <c r="E99" s="5">
        <v>4919.51</v>
      </c>
      <c r="F99" s="5">
        <v>5387.81</v>
      </c>
      <c r="G99" s="3">
        <v>118998</v>
      </c>
      <c r="H99" s="3">
        <v>1453</v>
      </c>
      <c r="I99" s="3">
        <v>106</v>
      </c>
      <c r="J99" s="5">
        <v>3421.68</v>
      </c>
    </row>
    <row r="100" customHeight="1" spans="1:10">
      <c r="A100" s="3" t="s">
        <v>159</v>
      </c>
      <c r="B100" s="4">
        <v>45675</v>
      </c>
      <c r="C100" s="3" t="s">
        <v>20</v>
      </c>
      <c r="D100" s="3" t="s">
        <v>17</v>
      </c>
      <c r="E100" s="5">
        <v>6471.13</v>
      </c>
      <c r="F100" s="5">
        <v>5334.24</v>
      </c>
      <c r="G100" s="3">
        <v>130452</v>
      </c>
      <c r="H100" s="3">
        <v>4881</v>
      </c>
      <c r="I100" s="3">
        <v>864</v>
      </c>
      <c r="J100" s="5">
        <v>22987.15</v>
      </c>
    </row>
    <row r="101" customHeight="1" spans="1:10">
      <c r="A101" s="3" t="s">
        <v>160</v>
      </c>
      <c r="B101" s="4">
        <v>45675</v>
      </c>
      <c r="C101" s="3" t="s">
        <v>25</v>
      </c>
      <c r="D101" s="3" t="s">
        <v>15</v>
      </c>
      <c r="E101" s="5">
        <v>4721.7</v>
      </c>
      <c r="F101" s="5">
        <v>4004.97</v>
      </c>
      <c r="G101" s="3">
        <v>138708</v>
      </c>
      <c r="H101" s="3">
        <v>3409</v>
      </c>
      <c r="I101" s="3">
        <v>272</v>
      </c>
      <c r="J101" s="5">
        <v>6962.39</v>
      </c>
    </row>
    <row r="102" customHeight="1" spans="1:10">
      <c r="A102" s="3" t="s">
        <v>161</v>
      </c>
      <c r="B102" s="4">
        <v>45675</v>
      </c>
      <c r="C102" s="3" t="s">
        <v>27</v>
      </c>
      <c r="D102" s="3" t="s">
        <v>18</v>
      </c>
      <c r="E102" s="5">
        <v>4273.5</v>
      </c>
      <c r="F102" s="5">
        <v>4523.65</v>
      </c>
      <c r="G102" s="3">
        <v>68829</v>
      </c>
      <c r="H102" s="3">
        <v>1090</v>
      </c>
      <c r="I102" s="3">
        <v>124</v>
      </c>
      <c r="J102" s="5">
        <v>5999.55</v>
      </c>
    </row>
    <row r="103" customHeight="1" spans="1:10">
      <c r="A103" s="3" t="s">
        <v>162</v>
      </c>
      <c r="B103" s="4">
        <v>45677</v>
      </c>
      <c r="C103" s="3" t="s">
        <v>25</v>
      </c>
      <c r="D103" s="3" t="s">
        <v>18</v>
      </c>
      <c r="E103" s="5">
        <v>9568.38</v>
      </c>
      <c r="F103" s="5">
        <v>8174.94</v>
      </c>
      <c r="G103" s="3">
        <v>158786</v>
      </c>
      <c r="H103" s="3">
        <v>2402</v>
      </c>
      <c r="I103" s="3">
        <v>240</v>
      </c>
      <c r="J103" s="5">
        <v>5278.77</v>
      </c>
    </row>
    <row r="104" customHeight="1" spans="1:10">
      <c r="A104" s="3" t="s">
        <v>163</v>
      </c>
      <c r="B104" s="4">
        <v>45679</v>
      </c>
      <c r="C104" s="3" t="s">
        <v>24</v>
      </c>
      <c r="D104" s="3" t="s">
        <v>17</v>
      </c>
      <c r="E104" s="5">
        <v>7462.9</v>
      </c>
      <c r="F104" s="5">
        <v>7956.67</v>
      </c>
      <c r="G104" s="3">
        <v>73683</v>
      </c>
      <c r="H104" s="3">
        <v>2259</v>
      </c>
      <c r="I104" s="3">
        <v>324</v>
      </c>
      <c r="J104" s="5">
        <v>11069.93</v>
      </c>
    </row>
    <row r="105" customHeight="1" spans="1:10">
      <c r="A105" s="3" t="s">
        <v>164</v>
      </c>
      <c r="B105" s="4">
        <v>45679</v>
      </c>
      <c r="C105" s="3" t="s">
        <v>26</v>
      </c>
      <c r="D105" s="3" t="s">
        <v>15</v>
      </c>
      <c r="E105" s="5">
        <v>4599.18</v>
      </c>
      <c r="F105" s="5">
        <v>5054.04</v>
      </c>
      <c r="G105" s="3">
        <v>174584</v>
      </c>
      <c r="H105" s="3">
        <v>5659</v>
      </c>
      <c r="I105" s="3">
        <v>91</v>
      </c>
      <c r="J105" s="5">
        <v>4481.19</v>
      </c>
    </row>
    <row r="106" customHeight="1" spans="1:10">
      <c r="A106" s="3" t="s">
        <v>165</v>
      </c>
      <c r="B106" s="4">
        <v>45680</v>
      </c>
      <c r="C106" s="3" t="s">
        <v>26</v>
      </c>
      <c r="D106" s="3" t="s">
        <v>18</v>
      </c>
      <c r="E106" s="5">
        <v>8145.5</v>
      </c>
      <c r="F106" s="5">
        <v>8479.83</v>
      </c>
      <c r="G106" s="3">
        <v>81087</v>
      </c>
      <c r="H106" s="3">
        <v>3895</v>
      </c>
      <c r="I106" s="3">
        <v>231</v>
      </c>
      <c r="J106" s="5">
        <v>6574.5</v>
      </c>
    </row>
    <row r="107" customHeight="1" spans="1:10">
      <c r="A107" s="3" t="s">
        <v>166</v>
      </c>
      <c r="B107" s="4">
        <v>45680</v>
      </c>
      <c r="C107" s="3" t="s">
        <v>24</v>
      </c>
      <c r="D107" s="3" t="s">
        <v>16</v>
      </c>
      <c r="E107" s="5">
        <v>3896.32</v>
      </c>
      <c r="F107" s="5">
        <v>3294.61</v>
      </c>
      <c r="G107" s="3">
        <v>148880</v>
      </c>
      <c r="H107" s="3">
        <v>1344</v>
      </c>
      <c r="I107" s="3">
        <v>233</v>
      </c>
      <c r="J107" s="5">
        <v>5630.4</v>
      </c>
    </row>
    <row r="108" customHeight="1" spans="1:10">
      <c r="A108" s="3" t="s">
        <v>167</v>
      </c>
      <c r="B108" s="4">
        <v>45680</v>
      </c>
      <c r="C108" s="3" t="s">
        <v>27</v>
      </c>
      <c r="D108" s="3" t="s">
        <v>16</v>
      </c>
      <c r="E108" s="5">
        <v>7169.47</v>
      </c>
      <c r="F108" s="5">
        <v>6749.86</v>
      </c>
      <c r="G108" s="3">
        <v>109928</v>
      </c>
      <c r="H108" s="3">
        <v>2600</v>
      </c>
      <c r="I108" s="3">
        <v>192</v>
      </c>
      <c r="J108" s="5">
        <v>6212.2</v>
      </c>
    </row>
    <row r="109" customHeight="1" spans="1:10">
      <c r="A109" s="3" t="s">
        <v>168</v>
      </c>
      <c r="B109" s="4">
        <v>45680</v>
      </c>
      <c r="C109" s="3" t="s">
        <v>27</v>
      </c>
      <c r="D109" s="3" t="s">
        <v>16</v>
      </c>
      <c r="E109" s="5">
        <v>9995.9</v>
      </c>
      <c r="F109" s="5">
        <v>8141.3</v>
      </c>
      <c r="G109" s="3">
        <v>99483</v>
      </c>
      <c r="H109" s="3">
        <v>4587</v>
      </c>
      <c r="I109" s="3">
        <v>250</v>
      </c>
      <c r="J109" s="5">
        <v>12328.81</v>
      </c>
    </row>
    <row r="110" customHeight="1" spans="1:10">
      <c r="A110" s="3" t="s">
        <v>169</v>
      </c>
      <c r="B110" s="4">
        <v>45681</v>
      </c>
      <c r="C110" s="3" t="s">
        <v>27</v>
      </c>
      <c r="D110" s="3" t="s">
        <v>16</v>
      </c>
      <c r="E110" s="5">
        <v>9304.91</v>
      </c>
      <c r="F110" s="5">
        <v>8621.15</v>
      </c>
      <c r="G110" s="3">
        <v>96330</v>
      </c>
      <c r="H110" s="3">
        <v>1282</v>
      </c>
      <c r="I110" s="3">
        <v>150</v>
      </c>
      <c r="J110" s="5">
        <v>4245.73</v>
      </c>
    </row>
    <row r="111" customHeight="1" spans="1:10">
      <c r="A111" s="3" t="s">
        <v>170</v>
      </c>
      <c r="B111" s="4">
        <v>45682</v>
      </c>
      <c r="C111" s="3" t="s">
        <v>24</v>
      </c>
      <c r="D111" s="3" t="s">
        <v>18</v>
      </c>
      <c r="E111" s="5">
        <v>5041.64</v>
      </c>
      <c r="F111" s="5">
        <v>5084.47</v>
      </c>
      <c r="G111" s="3">
        <v>179928</v>
      </c>
      <c r="H111" s="3">
        <v>5522</v>
      </c>
      <c r="I111" s="3">
        <v>900</v>
      </c>
      <c r="J111" s="5">
        <v>41223.3</v>
      </c>
    </row>
    <row r="112" customHeight="1" spans="1:10">
      <c r="A112" s="3" t="s">
        <v>171</v>
      </c>
      <c r="B112" s="4">
        <v>45682</v>
      </c>
      <c r="C112" s="3" t="s">
        <v>25</v>
      </c>
      <c r="D112" s="3" t="s">
        <v>18</v>
      </c>
      <c r="E112" s="5">
        <v>7360.77</v>
      </c>
      <c r="F112" s="5">
        <v>7283.25</v>
      </c>
      <c r="G112" s="3">
        <v>66585</v>
      </c>
      <c r="H112" s="3">
        <v>3235</v>
      </c>
      <c r="I112" s="3">
        <v>641</v>
      </c>
      <c r="J112" s="5">
        <v>26917.76</v>
      </c>
    </row>
    <row r="113" customHeight="1" spans="1:10">
      <c r="A113" s="3" t="s">
        <v>172</v>
      </c>
      <c r="B113" s="4">
        <v>45682</v>
      </c>
      <c r="C113" s="3" t="s">
        <v>27</v>
      </c>
      <c r="D113" s="3" t="s">
        <v>15</v>
      </c>
      <c r="E113" s="5">
        <v>8097.51</v>
      </c>
      <c r="F113" s="5">
        <v>7371.45</v>
      </c>
      <c r="G113" s="3">
        <v>111631</v>
      </c>
      <c r="H113" s="3">
        <v>2469</v>
      </c>
      <c r="I113" s="3">
        <v>139</v>
      </c>
      <c r="J113" s="5">
        <v>5416.72</v>
      </c>
    </row>
    <row r="114" customHeight="1" spans="1:10">
      <c r="A114" s="3" t="s">
        <v>173</v>
      </c>
      <c r="B114" s="4">
        <v>45682</v>
      </c>
      <c r="C114" s="3" t="s">
        <v>27</v>
      </c>
      <c r="D114" s="3" t="s">
        <v>17</v>
      </c>
      <c r="E114" s="5">
        <v>3091.66</v>
      </c>
      <c r="F114" s="5">
        <v>3088.76</v>
      </c>
      <c r="G114" s="3">
        <v>170519</v>
      </c>
      <c r="H114" s="3">
        <v>7134</v>
      </c>
      <c r="I114" s="3">
        <v>1220</v>
      </c>
      <c r="J114" s="5">
        <v>30916.12</v>
      </c>
    </row>
    <row r="115" customHeight="1" spans="1:10">
      <c r="A115" s="3" t="s">
        <v>174</v>
      </c>
      <c r="B115" s="4">
        <v>45682</v>
      </c>
      <c r="C115" s="3" t="s">
        <v>25</v>
      </c>
      <c r="D115" s="3" t="s">
        <v>16</v>
      </c>
      <c r="E115" s="5">
        <v>9755.83</v>
      </c>
      <c r="F115" s="5">
        <v>7819.12</v>
      </c>
      <c r="G115" s="3">
        <v>175747</v>
      </c>
      <c r="H115" s="3">
        <v>7548</v>
      </c>
      <c r="I115" s="3">
        <v>1026</v>
      </c>
      <c r="J115" s="5">
        <v>49816.77</v>
      </c>
    </row>
    <row r="116" customHeight="1" spans="1:10">
      <c r="A116" s="3" t="s">
        <v>175</v>
      </c>
      <c r="B116" s="4">
        <v>45684</v>
      </c>
      <c r="C116" s="3" t="s">
        <v>26</v>
      </c>
      <c r="D116" s="3" t="s">
        <v>15</v>
      </c>
      <c r="E116" s="5">
        <v>8847.12</v>
      </c>
      <c r="F116" s="5">
        <v>7929.09</v>
      </c>
      <c r="G116" s="3">
        <v>79647</v>
      </c>
      <c r="H116" s="3">
        <v>2287</v>
      </c>
      <c r="I116" s="3">
        <v>311</v>
      </c>
      <c r="J116" s="5">
        <v>7960.22</v>
      </c>
    </row>
    <row r="117" customHeight="1" spans="1:10">
      <c r="A117" s="3" t="s">
        <v>176</v>
      </c>
      <c r="B117" s="4">
        <v>45684</v>
      </c>
      <c r="C117" s="3" t="s">
        <v>20</v>
      </c>
      <c r="D117" s="3" t="s">
        <v>18</v>
      </c>
      <c r="E117" s="5">
        <v>7473.84</v>
      </c>
      <c r="F117" s="5">
        <v>7925.08</v>
      </c>
      <c r="G117" s="3">
        <v>150368</v>
      </c>
      <c r="H117" s="3">
        <v>2680</v>
      </c>
      <c r="I117" s="3">
        <v>75</v>
      </c>
      <c r="J117" s="5">
        <v>2523.16</v>
      </c>
    </row>
    <row r="118" customHeight="1" spans="1:10">
      <c r="A118" s="3" t="s">
        <v>177</v>
      </c>
      <c r="B118" s="4">
        <v>45685</v>
      </c>
      <c r="C118" s="3" t="s">
        <v>26</v>
      </c>
      <c r="D118" s="3" t="s">
        <v>15</v>
      </c>
      <c r="E118" s="5">
        <v>5931.39</v>
      </c>
      <c r="F118" s="5">
        <v>5426.88</v>
      </c>
      <c r="G118" s="3">
        <v>87162</v>
      </c>
      <c r="H118" s="3">
        <v>1775</v>
      </c>
      <c r="I118" s="3">
        <v>84</v>
      </c>
      <c r="J118" s="5">
        <v>2987.67</v>
      </c>
    </row>
    <row r="119" customHeight="1" spans="1:10">
      <c r="A119" s="3" t="s">
        <v>178</v>
      </c>
      <c r="B119" s="4">
        <v>45685</v>
      </c>
      <c r="C119" s="3" t="s">
        <v>25</v>
      </c>
      <c r="D119" s="3" t="s">
        <v>16</v>
      </c>
      <c r="E119" s="5">
        <v>7035.62</v>
      </c>
      <c r="F119" s="5">
        <v>6206.94</v>
      </c>
      <c r="G119" s="3">
        <v>50360</v>
      </c>
      <c r="H119" s="3">
        <v>1689</v>
      </c>
      <c r="I119" s="3">
        <v>308</v>
      </c>
      <c r="J119" s="5">
        <v>11280.6</v>
      </c>
    </row>
    <row r="120" customHeight="1" spans="1:10">
      <c r="A120" s="3" t="s">
        <v>179</v>
      </c>
      <c r="B120" s="4">
        <v>45685</v>
      </c>
      <c r="C120" s="3" t="s">
        <v>25</v>
      </c>
      <c r="D120" s="3" t="s">
        <v>15</v>
      </c>
      <c r="E120" s="5">
        <v>6536.77</v>
      </c>
      <c r="F120" s="5">
        <v>6850.12</v>
      </c>
      <c r="G120" s="3">
        <v>195662</v>
      </c>
      <c r="H120" s="3">
        <v>9052</v>
      </c>
      <c r="I120" s="3">
        <v>377</v>
      </c>
      <c r="J120" s="5">
        <v>11159.76</v>
      </c>
    </row>
    <row r="121" customHeight="1" spans="1:10">
      <c r="A121" s="3" t="s">
        <v>180</v>
      </c>
      <c r="B121" s="4">
        <v>45685</v>
      </c>
      <c r="C121" s="3" t="s">
        <v>24</v>
      </c>
      <c r="D121" s="3" t="s">
        <v>18</v>
      </c>
      <c r="E121" s="5">
        <v>4747.68</v>
      </c>
      <c r="F121" s="5">
        <v>4495.23</v>
      </c>
      <c r="G121" s="3">
        <v>67946</v>
      </c>
      <c r="H121" s="3">
        <v>1270</v>
      </c>
      <c r="I121" s="3">
        <v>110</v>
      </c>
      <c r="J121" s="5">
        <v>2929.99</v>
      </c>
    </row>
    <row r="122" customHeight="1" spans="1:10">
      <c r="A122" s="3" t="s">
        <v>181</v>
      </c>
      <c r="B122" s="4">
        <v>45685</v>
      </c>
      <c r="C122" s="3" t="s">
        <v>27</v>
      </c>
      <c r="D122" s="3" t="s">
        <v>16</v>
      </c>
      <c r="E122" s="5">
        <v>8163.08</v>
      </c>
      <c r="F122" s="5">
        <v>7115.21</v>
      </c>
      <c r="G122" s="3">
        <v>188259</v>
      </c>
      <c r="H122" s="3">
        <v>3527</v>
      </c>
      <c r="I122" s="3">
        <v>426</v>
      </c>
      <c r="J122" s="5">
        <v>9931.86</v>
      </c>
    </row>
    <row r="123" customHeight="1" spans="1:10">
      <c r="A123" s="3" t="s">
        <v>182</v>
      </c>
      <c r="B123" s="4">
        <v>45686</v>
      </c>
      <c r="C123" s="3" t="s">
        <v>24</v>
      </c>
      <c r="D123" s="3" t="s">
        <v>15</v>
      </c>
      <c r="E123" s="5">
        <v>8639.69</v>
      </c>
      <c r="F123" s="5">
        <v>8428.94</v>
      </c>
      <c r="G123" s="3">
        <v>72102</v>
      </c>
      <c r="H123" s="3">
        <v>2351</v>
      </c>
      <c r="I123" s="3">
        <v>159</v>
      </c>
      <c r="J123" s="5">
        <v>7321.65</v>
      </c>
    </row>
    <row r="124" customHeight="1" spans="1:10">
      <c r="A124" s="3" t="s">
        <v>183</v>
      </c>
      <c r="B124" s="4">
        <v>45686</v>
      </c>
      <c r="C124" s="3" t="s">
        <v>24</v>
      </c>
      <c r="D124" s="3" t="s">
        <v>18</v>
      </c>
      <c r="E124" s="5">
        <v>4621.7</v>
      </c>
      <c r="F124" s="5">
        <v>5004.47</v>
      </c>
      <c r="G124" s="3">
        <v>164936</v>
      </c>
      <c r="H124" s="3">
        <v>4651</v>
      </c>
      <c r="I124" s="3">
        <v>231</v>
      </c>
      <c r="J124" s="5">
        <v>9122.05</v>
      </c>
    </row>
    <row r="125" customHeight="1" spans="1:10">
      <c r="A125" s="3" t="s">
        <v>184</v>
      </c>
      <c r="B125" s="4">
        <v>45686</v>
      </c>
      <c r="C125" s="3" t="s">
        <v>26</v>
      </c>
      <c r="D125" s="3" t="s">
        <v>18</v>
      </c>
      <c r="E125" s="5">
        <v>4257.78</v>
      </c>
      <c r="F125" s="5">
        <v>3709.65</v>
      </c>
      <c r="G125" s="3">
        <v>194804</v>
      </c>
      <c r="H125" s="3">
        <v>8803</v>
      </c>
      <c r="I125" s="3">
        <v>1231</v>
      </c>
      <c r="J125" s="5">
        <v>60493.62</v>
      </c>
    </row>
    <row r="126" customHeight="1" spans="1:10">
      <c r="A126" s="3" t="s">
        <v>185</v>
      </c>
      <c r="B126" s="4">
        <v>45686</v>
      </c>
      <c r="C126" s="3" t="s">
        <v>26</v>
      </c>
      <c r="D126" s="3" t="s">
        <v>17</v>
      </c>
      <c r="E126" s="5">
        <v>9117.23</v>
      </c>
      <c r="F126" s="5">
        <v>8927.81</v>
      </c>
      <c r="G126" s="3">
        <v>68618</v>
      </c>
      <c r="H126" s="3">
        <v>3036</v>
      </c>
      <c r="I126" s="3">
        <v>196</v>
      </c>
      <c r="J126" s="5">
        <v>7451.04</v>
      </c>
    </row>
    <row r="127" customHeight="1" spans="1:10">
      <c r="A127" s="3" t="s">
        <v>186</v>
      </c>
      <c r="B127" s="4">
        <v>45687</v>
      </c>
      <c r="C127" s="3" t="s">
        <v>20</v>
      </c>
      <c r="D127" s="3" t="s">
        <v>15</v>
      </c>
      <c r="E127" s="5">
        <v>9258.69</v>
      </c>
      <c r="F127" s="5">
        <v>8045.68</v>
      </c>
      <c r="G127" s="3">
        <v>115280</v>
      </c>
      <c r="H127" s="3">
        <v>3264</v>
      </c>
      <c r="I127" s="3">
        <v>281</v>
      </c>
      <c r="J127" s="5">
        <v>7416.47</v>
      </c>
    </row>
    <row r="128" customHeight="1" spans="1:10">
      <c r="A128" s="3" t="s">
        <v>187</v>
      </c>
      <c r="B128" s="4">
        <v>45687</v>
      </c>
      <c r="C128" s="3" t="s">
        <v>27</v>
      </c>
      <c r="D128" s="3" t="s">
        <v>17</v>
      </c>
      <c r="E128" s="5">
        <v>9069.22</v>
      </c>
      <c r="F128" s="5">
        <v>8829.82</v>
      </c>
      <c r="G128" s="3">
        <v>149827</v>
      </c>
      <c r="H128" s="3">
        <v>5041</v>
      </c>
      <c r="I128" s="3">
        <v>104</v>
      </c>
      <c r="J128" s="5">
        <v>3448.48</v>
      </c>
    </row>
    <row r="129" customHeight="1" spans="1:10">
      <c r="A129" s="3" t="s">
        <v>188</v>
      </c>
      <c r="B129" s="4">
        <v>45687</v>
      </c>
      <c r="C129" s="3" t="s">
        <v>20</v>
      </c>
      <c r="D129" s="3" t="s">
        <v>17</v>
      </c>
      <c r="E129" s="5">
        <v>3588.98</v>
      </c>
      <c r="F129" s="5">
        <v>3045.21</v>
      </c>
      <c r="G129" s="3">
        <v>162389</v>
      </c>
      <c r="H129" s="3">
        <v>4500</v>
      </c>
      <c r="I129" s="3">
        <v>742</v>
      </c>
      <c r="J129" s="5">
        <v>34841.82</v>
      </c>
    </row>
    <row r="130" customHeight="1" spans="1:10">
      <c r="A130" s="3" t="s">
        <v>189</v>
      </c>
      <c r="B130" s="4">
        <v>45688</v>
      </c>
      <c r="C130" s="3" t="s">
        <v>20</v>
      </c>
      <c r="D130" s="3" t="s">
        <v>18</v>
      </c>
      <c r="E130" s="5">
        <v>6332.35</v>
      </c>
      <c r="F130" s="5">
        <v>6326.66</v>
      </c>
      <c r="G130" s="3">
        <v>185576</v>
      </c>
      <c r="H130" s="3">
        <v>8158</v>
      </c>
      <c r="I130" s="3">
        <v>162</v>
      </c>
      <c r="J130" s="5">
        <v>7792.99</v>
      </c>
    </row>
    <row r="131" customHeight="1" spans="1:10">
      <c r="A131" s="3" t="s">
        <v>190</v>
      </c>
      <c r="B131" s="4">
        <v>45688</v>
      </c>
      <c r="C131" s="3" t="s">
        <v>26</v>
      </c>
      <c r="D131" s="3" t="s">
        <v>16</v>
      </c>
      <c r="E131" s="5">
        <v>6441.16</v>
      </c>
      <c r="F131" s="5">
        <v>5277</v>
      </c>
      <c r="G131" s="3">
        <v>143676</v>
      </c>
      <c r="H131" s="3">
        <v>6117</v>
      </c>
      <c r="I131" s="3">
        <v>461</v>
      </c>
      <c r="J131" s="5">
        <v>17268.66</v>
      </c>
    </row>
    <row r="132" customHeight="1" spans="1:10">
      <c r="A132" s="3" t="s">
        <v>191</v>
      </c>
      <c r="B132" s="4">
        <v>45689</v>
      </c>
      <c r="C132" s="3" t="s">
        <v>27</v>
      </c>
      <c r="D132" s="3" t="s">
        <v>18</v>
      </c>
      <c r="E132" s="5">
        <v>6759.75</v>
      </c>
      <c r="F132" s="5">
        <v>6597.87</v>
      </c>
      <c r="G132" s="3">
        <v>167465</v>
      </c>
      <c r="H132" s="3">
        <v>5881</v>
      </c>
      <c r="I132" s="3">
        <v>966</v>
      </c>
      <c r="J132" s="5">
        <v>40922.84</v>
      </c>
    </row>
    <row r="133" customHeight="1" spans="1:10">
      <c r="A133" s="3" t="s">
        <v>192</v>
      </c>
      <c r="B133" s="4">
        <v>45690</v>
      </c>
      <c r="C133" s="3" t="s">
        <v>25</v>
      </c>
      <c r="D133" s="3" t="s">
        <v>17</v>
      </c>
      <c r="E133" s="5">
        <v>6370.66</v>
      </c>
      <c r="F133" s="5">
        <v>5320.73</v>
      </c>
      <c r="G133" s="3">
        <v>84061</v>
      </c>
      <c r="H133" s="3">
        <v>1539</v>
      </c>
      <c r="I133" s="3">
        <v>177</v>
      </c>
      <c r="J133" s="5">
        <v>4204.74</v>
      </c>
    </row>
    <row r="134" customHeight="1" spans="1:10">
      <c r="A134" s="3" t="s">
        <v>193</v>
      </c>
      <c r="B134" s="4">
        <v>45690</v>
      </c>
      <c r="C134" s="3" t="s">
        <v>26</v>
      </c>
      <c r="D134" s="3" t="s">
        <v>17</v>
      </c>
      <c r="E134" s="5">
        <v>3755.24</v>
      </c>
      <c r="F134" s="5">
        <v>3039.6</v>
      </c>
      <c r="G134" s="3">
        <v>188839</v>
      </c>
      <c r="H134" s="3">
        <v>7836</v>
      </c>
      <c r="I134" s="3">
        <v>1477</v>
      </c>
      <c r="J134" s="5">
        <v>57739.35</v>
      </c>
    </row>
    <row r="135" customHeight="1" spans="1:10">
      <c r="A135" s="3" t="s">
        <v>194</v>
      </c>
      <c r="B135" s="4">
        <v>45690</v>
      </c>
      <c r="C135" s="3" t="s">
        <v>26</v>
      </c>
      <c r="D135" s="3" t="s">
        <v>17</v>
      </c>
      <c r="E135" s="5">
        <v>5848.36</v>
      </c>
      <c r="F135" s="5">
        <v>6206.43</v>
      </c>
      <c r="G135" s="3">
        <v>166799</v>
      </c>
      <c r="H135" s="3">
        <v>6009</v>
      </c>
      <c r="I135" s="3">
        <v>332</v>
      </c>
      <c r="J135" s="5">
        <v>14432.56</v>
      </c>
    </row>
    <row r="136" customHeight="1" spans="1:10">
      <c r="A136" s="3" t="s">
        <v>195</v>
      </c>
      <c r="B136" s="4">
        <v>45690</v>
      </c>
      <c r="C136" s="3" t="s">
        <v>26</v>
      </c>
      <c r="D136" s="3" t="s">
        <v>15</v>
      </c>
      <c r="E136" s="5">
        <v>4895.83</v>
      </c>
      <c r="F136" s="5">
        <v>4561.4</v>
      </c>
      <c r="G136" s="3">
        <v>151629</v>
      </c>
      <c r="H136" s="3">
        <v>4739</v>
      </c>
      <c r="I136" s="3">
        <v>583</v>
      </c>
      <c r="J136" s="5">
        <v>13032.2</v>
      </c>
    </row>
    <row r="137" customHeight="1" spans="1:10">
      <c r="A137" s="3" t="s">
        <v>196</v>
      </c>
      <c r="B137" s="4">
        <v>45690</v>
      </c>
      <c r="C137" s="3" t="s">
        <v>27</v>
      </c>
      <c r="D137" s="3" t="s">
        <v>18</v>
      </c>
      <c r="E137" s="5">
        <v>6192.49</v>
      </c>
      <c r="F137" s="5">
        <v>6412.65</v>
      </c>
      <c r="G137" s="3">
        <v>53911</v>
      </c>
      <c r="H137" s="3">
        <v>2127</v>
      </c>
      <c r="I137" s="3">
        <v>315</v>
      </c>
      <c r="J137" s="5">
        <v>8186.92</v>
      </c>
    </row>
    <row r="138" customHeight="1" spans="1:10">
      <c r="A138" s="3" t="s">
        <v>197</v>
      </c>
      <c r="B138" s="4">
        <v>45691</v>
      </c>
      <c r="C138" s="3" t="s">
        <v>26</v>
      </c>
      <c r="D138" s="3" t="s">
        <v>17</v>
      </c>
      <c r="E138" s="5">
        <v>3978.41</v>
      </c>
      <c r="F138" s="5">
        <v>4131.9</v>
      </c>
      <c r="G138" s="3">
        <v>70430</v>
      </c>
      <c r="H138" s="3">
        <v>2036</v>
      </c>
      <c r="I138" s="3">
        <v>76</v>
      </c>
      <c r="J138" s="5">
        <v>1979.71</v>
      </c>
    </row>
    <row r="139" customHeight="1" spans="1:10">
      <c r="A139" s="3" t="s">
        <v>198</v>
      </c>
      <c r="B139" s="4">
        <v>45691</v>
      </c>
      <c r="C139" s="3" t="s">
        <v>24</v>
      </c>
      <c r="D139" s="3" t="s">
        <v>18</v>
      </c>
      <c r="E139" s="5">
        <v>7637.66</v>
      </c>
      <c r="F139" s="5">
        <v>6824.35</v>
      </c>
      <c r="G139" s="3">
        <v>59367</v>
      </c>
      <c r="H139" s="3">
        <v>1348</v>
      </c>
      <c r="I139" s="3">
        <v>152</v>
      </c>
      <c r="J139" s="5">
        <v>5411.51</v>
      </c>
    </row>
    <row r="140" customHeight="1" spans="1:10">
      <c r="A140" s="3" t="s">
        <v>199</v>
      </c>
      <c r="B140" s="4">
        <v>45691</v>
      </c>
      <c r="C140" s="3" t="s">
        <v>20</v>
      </c>
      <c r="D140" s="3" t="s">
        <v>18</v>
      </c>
      <c r="E140" s="5">
        <v>9344.48</v>
      </c>
      <c r="F140" s="5">
        <v>7787.31</v>
      </c>
      <c r="G140" s="3">
        <v>168488</v>
      </c>
      <c r="H140" s="3">
        <v>6718</v>
      </c>
      <c r="I140" s="3">
        <v>131</v>
      </c>
      <c r="J140" s="5">
        <v>4556.02</v>
      </c>
    </row>
    <row r="141" customHeight="1" spans="1:10">
      <c r="A141" s="3" t="s">
        <v>200</v>
      </c>
      <c r="B141" s="4">
        <v>45692</v>
      </c>
      <c r="C141" s="3" t="s">
        <v>27</v>
      </c>
      <c r="D141" s="3" t="s">
        <v>16</v>
      </c>
      <c r="E141" s="5">
        <v>5344.34</v>
      </c>
      <c r="F141" s="5">
        <v>4498.77</v>
      </c>
      <c r="G141" s="3">
        <v>141042</v>
      </c>
      <c r="H141" s="3">
        <v>2816</v>
      </c>
      <c r="I141" s="3">
        <v>230</v>
      </c>
      <c r="J141" s="5">
        <v>10078.77</v>
      </c>
    </row>
    <row r="142" customHeight="1" spans="1:10">
      <c r="A142" s="3" t="s">
        <v>201</v>
      </c>
      <c r="B142" s="4">
        <v>45692</v>
      </c>
      <c r="C142" s="3" t="s">
        <v>25</v>
      </c>
      <c r="D142" s="3" t="s">
        <v>16</v>
      </c>
      <c r="E142" s="5">
        <v>6758.82</v>
      </c>
      <c r="F142" s="5">
        <v>6609.33</v>
      </c>
      <c r="G142" s="3">
        <v>56417</v>
      </c>
      <c r="H142" s="3">
        <v>2121</v>
      </c>
      <c r="I142" s="3">
        <v>213</v>
      </c>
      <c r="J142" s="5">
        <v>7966.75</v>
      </c>
    </row>
    <row r="143" customHeight="1" spans="1:10">
      <c r="A143" s="3" t="s">
        <v>202</v>
      </c>
      <c r="B143" s="4">
        <v>45693</v>
      </c>
      <c r="C143" s="3" t="s">
        <v>27</v>
      </c>
      <c r="D143" s="3" t="s">
        <v>16</v>
      </c>
      <c r="E143" s="5">
        <v>8772.77</v>
      </c>
      <c r="F143" s="5">
        <v>7933.59</v>
      </c>
      <c r="G143" s="3">
        <v>165044</v>
      </c>
      <c r="H143" s="3">
        <v>3343</v>
      </c>
      <c r="I143" s="3">
        <v>448</v>
      </c>
      <c r="J143" s="5">
        <v>18072.54</v>
      </c>
    </row>
    <row r="144" customHeight="1" spans="1:10">
      <c r="A144" s="3" t="s">
        <v>203</v>
      </c>
      <c r="B144" s="4">
        <v>45693</v>
      </c>
      <c r="C144" s="3" t="s">
        <v>24</v>
      </c>
      <c r="D144" s="3" t="s">
        <v>15</v>
      </c>
      <c r="E144" s="5">
        <v>8307.67</v>
      </c>
      <c r="F144" s="5">
        <v>8380.83</v>
      </c>
      <c r="G144" s="3">
        <v>107520</v>
      </c>
      <c r="H144" s="3">
        <v>2601</v>
      </c>
      <c r="I144" s="3">
        <v>369</v>
      </c>
      <c r="J144" s="5">
        <v>9083.63</v>
      </c>
    </row>
    <row r="145" customHeight="1" spans="1:10">
      <c r="A145" s="3" t="s">
        <v>204</v>
      </c>
      <c r="B145" s="4">
        <v>45693</v>
      </c>
      <c r="C145" s="3" t="s">
        <v>25</v>
      </c>
      <c r="D145" s="3" t="s">
        <v>15</v>
      </c>
      <c r="E145" s="5">
        <v>4334.81</v>
      </c>
      <c r="F145" s="5">
        <v>3515.38</v>
      </c>
      <c r="G145" s="3">
        <v>78277</v>
      </c>
      <c r="H145" s="3">
        <v>1196</v>
      </c>
      <c r="I145" s="3">
        <v>224</v>
      </c>
      <c r="J145" s="5">
        <v>7652.29</v>
      </c>
    </row>
    <row r="146" customHeight="1" spans="1:10">
      <c r="A146" s="3" t="s">
        <v>205</v>
      </c>
      <c r="B146" s="4">
        <v>45693</v>
      </c>
      <c r="C146" s="3" t="s">
        <v>20</v>
      </c>
      <c r="D146" s="3" t="s">
        <v>16</v>
      </c>
      <c r="E146" s="5">
        <v>4993.88</v>
      </c>
      <c r="F146" s="5">
        <v>4050.37</v>
      </c>
      <c r="G146" s="3">
        <v>61208</v>
      </c>
      <c r="H146" s="3">
        <v>3037</v>
      </c>
      <c r="I146" s="3">
        <v>504</v>
      </c>
      <c r="J146" s="5">
        <v>19296.61</v>
      </c>
    </row>
    <row r="147" customHeight="1" spans="1:10">
      <c r="A147" s="3" t="s">
        <v>206</v>
      </c>
      <c r="B147" s="4">
        <v>45693</v>
      </c>
      <c r="C147" s="3" t="s">
        <v>24</v>
      </c>
      <c r="D147" s="3" t="s">
        <v>16</v>
      </c>
      <c r="E147" s="5">
        <v>6897.61</v>
      </c>
      <c r="F147" s="5">
        <v>7455.26</v>
      </c>
      <c r="G147" s="3">
        <v>141755</v>
      </c>
      <c r="H147" s="3">
        <v>1695</v>
      </c>
      <c r="I147" s="3">
        <v>122</v>
      </c>
      <c r="J147" s="5">
        <v>4987.47</v>
      </c>
    </row>
    <row r="148" customHeight="1" spans="1:10">
      <c r="A148" s="3" t="s">
        <v>207</v>
      </c>
      <c r="B148" s="4">
        <v>45693</v>
      </c>
      <c r="C148" s="3" t="s">
        <v>25</v>
      </c>
      <c r="D148" s="3" t="s">
        <v>17</v>
      </c>
      <c r="E148" s="5">
        <v>7757.53</v>
      </c>
      <c r="F148" s="5">
        <v>6713.96</v>
      </c>
      <c r="G148" s="3">
        <v>134861</v>
      </c>
      <c r="H148" s="3">
        <v>3399</v>
      </c>
      <c r="I148" s="3">
        <v>139</v>
      </c>
      <c r="J148" s="5">
        <v>6741.34</v>
      </c>
    </row>
    <row r="149" customHeight="1" spans="1:10">
      <c r="A149" s="3" t="s">
        <v>208</v>
      </c>
      <c r="B149" s="4">
        <v>45694</v>
      </c>
      <c r="C149" s="3" t="s">
        <v>27</v>
      </c>
      <c r="D149" s="3" t="s">
        <v>18</v>
      </c>
      <c r="E149" s="5">
        <v>4235.7</v>
      </c>
      <c r="F149" s="5">
        <v>3668.73</v>
      </c>
      <c r="G149" s="3">
        <v>76927</v>
      </c>
      <c r="H149" s="3">
        <v>1398</v>
      </c>
      <c r="I149" s="3">
        <v>241</v>
      </c>
      <c r="J149" s="5">
        <v>6167.95</v>
      </c>
    </row>
    <row r="150" customHeight="1" spans="1:10">
      <c r="A150" s="3" t="s">
        <v>209</v>
      </c>
      <c r="B150" s="4">
        <v>45695</v>
      </c>
      <c r="C150" s="3" t="s">
        <v>25</v>
      </c>
      <c r="D150" s="3" t="s">
        <v>17</v>
      </c>
      <c r="E150" s="5">
        <v>5394.57</v>
      </c>
      <c r="F150" s="5">
        <v>5644.76</v>
      </c>
      <c r="G150" s="3">
        <v>192983</v>
      </c>
      <c r="H150" s="3">
        <v>4396</v>
      </c>
      <c r="I150" s="3">
        <v>677</v>
      </c>
      <c r="J150" s="5">
        <v>15786.93</v>
      </c>
    </row>
    <row r="151" customHeight="1" spans="1:10">
      <c r="A151" s="3" t="s">
        <v>210</v>
      </c>
      <c r="B151" s="4">
        <v>45695</v>
      </c>
      <c r="C151" s="3" t="s">
        <v>24</v>
      </c>
      <c r="D151" s="3" t="s">
        <v>17</v>
      </c>
      <c r="E151" s="5">
        <v>8595.91</v>
      </c>
      <c r="F151" s="5">
        <v>8668.19</v>
      </c>
      <c r="G151" s="3">
        <v>149998</v>
      </c>
      <c r="H151" s="3">
        <v>5998</v>
      </c>
      <c r="I151" s="3">
        <v>629</v>
      </c>
      <c r="J151" s="5">
        <v>17715.38</v>
      </c>
    </row>
    <row r="152" customHeight="1" spans="1:10">
      <c r="A152" s="3" t="s">
        <v>211</v>
      </c>
      <c r="B152" s="4">
        <v>45695</v>
      </c>
      <c r="C152" s="3" t="s">
        <v>25</v>
      </c>
      <c r="D152" s="3" t="s">
        <v>16</v>
      </c>
      <c r="E152" s="5">
        <v>4509.73</v>
      </c>
      <c r="F152" s="5">
        <v>4499.2</v>
      </c>
      <c r="G152" s="3">
        <v>147771</v>
      </c>
      <c r="H152" s="3">
        <v>5682</v>
      </c>
      <c r="I152" s="3">
        <v>699</v>
      </c>
      <c r="J152" s="5">
        <v>22239.34</v>
      </c>
    </row>
    <row r="153" customHeight="1" spans="1:10">
      <c r="A153" s="3" t="s">
        <v>212</v>
      </c>
      <c r="B153" s="4">
        <v>45696</v>
      </c>
      <c r="C153" s="3" t="s">
        <v>25</v>
      </c>
      <c r="D153" s="3" t="s">
        <v>16</v>
      </c>
      <c r="E153" s="5">
        <v>9678.36</v>
      </c>
      <c r="F153" s="5">
        <v>9502.72</v>
      </c>
      <c r="G153" s="3">
        <v>72317</v>
      </c>
      <c r="H153" s="3">
        <v>1429</v>
      </c>
      <c r="I153" s="3">
        <v>157</v>
      </c>
      <c r="J153" s="5">
        <v>4216.91</v>
      </c>
    </row>
    <row r="154" customHeight="1" spans="1:10">
      <c r="A154" s="3" t="s">
        <v>213</v>
      </c>
      <c r="B154" s="4">
        <v>45696</v>
      </c>
      <c r="C154" s="3" t="s">
        <v>27</v>
      </c>
      <c r="D154" s="3" t="s">
        <v>15</v>
      </c>
      <c r="E154" s="5">
        <v>4545.39</v>
      </c>
      <c r="F154" s="5">
        <v>3748.65</v>
      </c>
      <c r="G154" s="3">
        <v>63940</v>
      </c>
      <c r="H154" s="3">
        <v>2107</v>
      </c>
      <c r="I154" s="3">
        <v>352</v>
      </c>
      <c r="J154" s="5">
        <v>14226.07</v>
      </c>
    </row>
    <row r="155" customHeight="1" spans="1:10">
      <c r="A155" s="3" t="s">
        <v>214</v>
      </c>
      <c r="B155" s="4">
        <v>45697</v>
      </c>
      <c r="C155" s="3" t="s">
        <v>27</v>
      </c>
      <c r="D155" s="3" t="s">
        <v>17</v>
      </c>
      <c r="E155" s="5">
        <v>5778.46</v>
      </c>
      <c r="F155" s="5">
        <v>4852.84</v>
      </c>
      <c r="G155" s="3">
        <v>102748</v>
      </c>
      <c r="H155" s="3">
        <v>1293</v>
      </c>
      <c r="I155" s="3">
        <v>60</v>
      </c>
      <c r="J155" s="5">
        <v>2221.57</v>
      </c>
    </row>
    <row r="156" customHeight="1" spans="1:10">
      <c r="A156" s="3" t="s">
        <v>215</v>
      </c>
      <c r="B156" s="4">
        <v>45697</v>
      </c>
      <c r="C156" s="3" t="s">
        <v>26</v>
      </c>
      <c r="D156" s="3" t="s">
        <v>15</v>
      </c>
      <c r="E156" s="5">
        <v>3493.98</v>
      </c>
      <c r="F156" s="5">
        <v>3468.56</v>
      </c>
      <c r="G156" s="3">
        <v>149919</v>
      </c>
      <c r="H156" s="3">
        <v>5922</v>
      </c>
      <c r="I156" s="3">
        <v>705</v>
      </c>
      <c r="J156" s="5">
        <v>14660.71</v>
      </c>
    </row>
    <row r="157" customHeight="1" spans="1:10">
      <c r="A157" s="3" t="s">
        <v>216</v>
      </c>
      <c r="B157" s="4">
        <v>45697</v>
      </c>
      <c r="C157" s="3" t="s">
        <v>24</v>
      </c>
      <c r="D157" s="3" t="s">
        <v>18</v>
      </c>
      <c r="E157" s="5">
        <v>7318.49</v>
      </c>
      <c r="F157" s="5">
        <v>8009.03</v>
      </c>
      <c r="G157" s="3">
        <v>140986</v>
      </c>
      <c r="H157" s="3">
        <v>2922</v>
      </c>
      <c r="I157" s="3">
        <v>339</v>
      </c>
      <c r="J157" s="5">
        <v>13205.54</v>
      </c>
    </row>
    <row r="158" customHeight="1" spans="1:10">
      <c r="A158" s="3" t="s">
        <v>217</v>
      </c>
      <c r="B158" s="4">
        <v>45698</v>
      </c>
      <c r="C158" s="3" t="s">
        <v>20</v>
      </c>
      <c r="D158" s="3" t="s">
        <v>18</v>
      </c>
      <c r="E158" s="5">
        <v>7644.51</v>
      </c>
      <c r="F158" s="5">
        <v>6127.22</v>
      </c>
      <c r="G158" s="3">
        <v>191486</v>
      </c>
      <c r="H158" s="3">
        <v>4445</v>
      </c>
      <c r="I158" s="3">
        <v>80</v>
      </c>
      <c r="J158" s="5">
        <v>1985.94</v>
      </c>
    </row>
    <row r="159" customHeight="1" spans="1:10">
      <c r="A159" s="3" t="s">
        <v>218</v>
      </c>
      <c r="B159" s="4">
        <v>45698</v>
      </c>
      <c r="C159" s="3" t="s">
        <v>20</v>
      </c>
      <c r="D159" s="3" t="s">
        <v>17</v>
      </c>
      <c r="E159" s="5">
        <v>3640.41</v>
      </c>
      <c r="F159" s="5">
        <v>3870.62</v>
      </c>
      <c r="G159" s="3">
        <v>133159</v>
      </c>
      <c r="H159" s="3">
        <v>6315</v>
      </c>
      <c r="I159" s="3">
        <v>1233</v>
      </c>
      <c r="J159" s="5">
        <v>34484.55</v>
      </c>
    </row>
    <row r="160" customHeight="1" spans="1:10">
      <c r="A160" s="3" t="s">
        <v>219</v>
      </c>
      <c r="B160" s="4">
        <v>45698</v>
      </c>
      <c r="C160" s="3" t="s">
        <v>26</v>
      </c>
      <c r="D160" s="3" t="s">
        <v>18</v>
      </c>
      <c r="E160" s="5">
        <v>9231.85</v>
      </c>
      <c r="F160" s="5">
        <v>8647.45</v>
      </c>
      <c r="G160" s="3">
        <v>53244</v>
      </c>
      <c r="H160" s="3">
        <v>1838</v>
      </c>
      <c r="I160" s="3">
        <v>273</v>
      </c>
      <c r="J160" s="5">
        <v>10538.89</v>
      </c>
    </row>
    <row r="161" customHeight="1" spans="1:10">
      <c r="A161" s="3" t="s">
        <v>220</v>
      </c>
      <c r="B161" s="4">
        <v>45698</v>
      </c>
      <c r="C161" s="3" t="s">
        <v>24</v>
      </c>
      <c r="D161" s="3" t="s">
        <v>15</v>
      </c>
      <c r="E161" s="5">
        <v>3361.77</v>
      </c>
      <c r="F161" s="5">
        <v>3225.3</v>
      </c>
      <c r="G161" s="3">
        <v>147591</v>
      </c>
      <c r="H161" s="3">
        <v>4755</v>
      </c>
      <c r="I161" s="3">
        <v>277</v>
      </c>
      <c r="J161" s="5">
        <v>10032.68</v>
      </c>
    </row>
    <row r="162" customHeight="1" spans="1:10">
      <c r="A162" s="3" t="s">
        <v>221</v>
      </c>
      <c r="B162" s="4">
        <v>45698</v>
      </c>
      <c r="C162" s="3" t="s">
        <v>26</v>
      </c>
      <c r="D162" s="3" t="s">
        <v>16</v>
      </c>
      <c r="E162" s="5">
        <v>7877.16</v>
      </c>
      <c r="F162" s="5">
        <v>7788.01</v>
      </c>
      <c r="G162" s="3">
        <v>129840</v>
      </c>
      <c r="H162" s="3">
        <v>5797</v>
      </c>
      <c r="I162" s="3">
        <v>480</v>
      </c>
      <c r="J162" s="5">
        <v>22235.6</v>
      </c>
    </row>
    <row r="163" customHeight="1" spans="1:10">
      <c r="A163" s="3" t="s">
        <v>222</v>
      </c>
      <c r="B163" s="4">
        <v>45698</v>
      </c>
      <c r="C163" s="3" t="s">
        <v>26</v>
      </c>
      <c r="D163" s="3" t="s">
        <v>16</v>
      </c>
      <c r="E163" s="5">
        <v>6811.42</v>
      </c>
      <c r="F163" s="5">
        <v>5460.9</v>
      </c>
      <c r="G163" s="3">
        <v>73610</v>
      </c>
      <c r="H163" s="3">
        <v>2346</v>
      </c>
      <c r="I163" s="3">
        <v>170</v>
      </c>
      <c r="J163" s="5">
        <v>5055.39</v>
      </c>
    </row>
    <row r="164" customHeight="1" spans="1:10">
      <c r="A164" s="3" t="s">
        <v>223</v>
      </c>
      <c r="B164" s="4">
        <v>45699</v>
      </c>
      <c r="C164" s="3" t="s">
        <v>25</v>
      </c>
      <c r="D164" s="3" t="s">
        <v>16</v>
      </c>
      <c r="E164" s="5">
        <v>5719.91</v>
      </c>
      <c r="F164" s="5">
        <v>5345.87</v>
      </c>
      <c r="G164" s="3">
        <v>152621</v>
      </c>
      <c r="H164" s="3">
        <v>2741</v>
      </c>
      <c r="I164" s="3">
        <v>345</v>
      </c>
      <c r="J164" s="5">
        <v>9358.58</v>
      </c>
    </row>
    <row r="165" customHeight="1" spans="1:10">
      <c r="A165" s="3" t="s">
        <v>224</v>
      </c>
      <c r="B165" s="4">
        <v>45699</v>
      </c>
      <c r="C165" s="3" t="s">
        <v>20</v>
      </c>
      <c r="D165" s="3" t="s">
        <v>16</v>
      </c>
      <c r="E165" s="5">
        <v>9071.06</v>
      </c>
      <c r="F165" s="5">
        <v>9184.53</v>
      </c>
      <c r="G165" s="3">
        <v>172320</v>
      </c>
      <c r="H165" s="3">
        <v>5189</v>
      </c>
      <c r="I165" s="3">
        <v>470</v>
      </c>
      <c r="J165" s="5">
        <v>21201.89</v>
      </c>
    </row>
    <row r="166" customHeight="1" spans="1:10">
      <c r="A166" s="3" t="s">
        <v>225</v>
      </c>
      <c r="B166" s="4">
        <v>45700</v>
      </c>
      <c r="C166" s="3" t="s">
        <v>26</v>
      </c>
      <c r="D166" s="3" t="s">
        <v>16</v>
      </c>
      <c r="E166" s="5">
        <v>9906.48</v>
      </c>
      <c r="F166" s="5">
        <v>9037.5</v>
      </c>
      <c r="G166" s="3">
        <v>130404</v>
      </c>
      <c r="H166" s="3">
        <v>3053</v>
      </c>
      <c r="I166" s="3">
        <v>159</v>
      </c>
      <c r="J166" s="5">
        <v>4947.96</v>
      </c>
    </row>
    <row r="167" customHeight="1" spans="1:10">
      <c r="A167" s="3" t="s">
        <v>226</v>
      </c>
      <c r="B167" s="4">
        <v>45701</v>
      </c>
      <c r="C167" s="3" t="s">
        <v>20</v>
      </c>
      <c r="D167" s="3" t="s">
        <v>16</v>
      </c>
      <c r="E167" s="5">
        <v>4601.59</v>
      </c>
      <c r="F167" s="5">
        <v>3787.54</v>
      </c>
      <c r="G167" s="3">
        <v>78896</v>
      </c>
      <c r="H167" s="3">
        <v>1812</v>
      </c>
      <c r="I167" s="3">
        <v>219</v>
      </c>
      <c r="J167" s="5">
        <v>6283.67</v>
      </c>
    </row>
    <row r="168" customHeight="1" spans="1:10">
      <c r="A168" s="3" t="s">
        <v>227</v>
      </c>
      <c r="B168" s="4">
        <v>45701</v>
      </c>
      <c r="C168" s="3" t="s">
        <v>25</v>
      </c>
      <c r="D168" s="3" t="s">
        <v>18</v>
      </c>
      <c r="E168" s="5">
        <v>8652.08</v>
      </c>
      <c r="F168" s="5">
        <v>9247.58</v>
      </c>
      <c r="G168" s="3">
        <v>177534</v>
      </c>
      <c r="H168" s="3">
        <v>2754</v>
      </c>
      <c r="I168" s="3">
        <v>206</v>
      </c>
      <c r="J168" s="5">
        <v>6085.26</v>
      </c>
    </row>
    <row r="169" customHeight="1" spans="1:10">
      <c r="A169" s="3" t="s">
        <v>228</v>
      </c>
      <c r="B169" s="4">
        <v>45701</v>
      </c>
      <c r="C169" s="3" t="s">
        <v>24</v>
      </c>
      <c r="D169" s="3" t="s">
        <v>18</v>
      </c>
      <c r="E169" s="5">
        <v>9140.4</v>
      </c>
      <c r="F169" s="5">
        <v>8388.45</v>
      </c>
      <c r="G169" s="3">
        <v>136646</v>
      </c>
      <c r="H169" s="3">
        <v>2540</v>
      </c>
      <c r="I169" s="3">
        <v>494</v>
      </c>
      <c r="J169" s="5">
        <v>21982</v>
      </c>
    </row>
    <row r="170" customHeight="1" spans="1:10">
      <c r="A170" s="3" t="s">
        <v>229</v>
      </c>
      <c r="B170" s="4">
        <v>45701</v>
      </c>
      <c r="C170" s="3" t="s">
        <v>26</v>
      </c>
      <c r="D170" s="3" t="s">
        <v>18</v>
      </c>
      <c r="E170" s="5">
        <v>5997.29</v>
      </c>
      <c r="F170" s="5">
        <v>6537.02</v>
      </c>
      <c r="G170" s="3">
        <v>138325</v>
      </c>
      <c r="H170" s="3">
        <v>4027</v>
      </c>
      <c r="I170" s="3">
        <v>453</v>
      </c>
      <c r="J170" s="5">
        <v>22155.6</v>
      </c>
    </row>
    <row r="171" customHeight="1" spans="1:10">
      <c r="A171" s="3" t="s">
        <v>230</v>
      </c>
      <c r="B171" s="4">
        <v>45702</v>
      </c>
      <c r="C171" s="3" t="s">
        <v>26</v>
      </c>
      <c r="D171" s="3" t="s">
        <v>16</v>
      </c>
      <c r="E171" s="5">
        <v>3696.09</v>
      </c>
      <c r="F171" s="5">
        <v>3226.51</v>
      </c>
      <c r="G171" s="3">
        <v>99410</v>
      </c>
      <c r="H171" s="3">
        <v>4795</v>
      </c>
      <c r="I171" s="3">
        <v>100</v>
      </c>
      <c r="J171" s="5">
        <v>4166.8</v>
      </c>
    </row>
    <row r="172" customHeight="1" spans="1:10">
      <c r="A172" s="3" t="s">
        <v>231</v>
      </c>
      <c r="B172" s="4">
        <v>45702</v>
      </c>
      <c r="C172" s="3" t="s">
        <v>27</v>
      </c>
      <c r="D172" s="3" t="s">
        <v>18</v>
      </c>
      <c r="E172" s="5">
        <v>3794.9</v>
      </c>
      <c r="F172" s="5">
        <v>3800.49</v>
      </c>
      <c r="G172" s="3">
        <v>123058</v>
      </c>
      <c r="H172" s="3">
        <v>4679</v>
      </c>
      <c r="I172" s="3">
        <v>186</v>
      </c>
      <c r="J172" s="5">
        <v>6623.32</v>
      </c>
    </row>
    <row r="173" customHeight="1" spans="1:10">
      <c r="A173" s="3" t="s">
        <v>232</v>
      </c>
      <c r="B173" s="4">
        <v>45702</v>
      </c>
      <c r="C173" s="3" t="s">
        <v>25</v>
      </c>
      <c r="D173" s="3" t="s">
        <v>16</v>
      </c>
      <c r="E173" s="5">
        <v>7083.74</v>
      </c>
      <c r="F173" s="5">
        <v>6518.85</v>
      </c>
      <c r="G173" s="3">
        <v>166397</v>
      </c>
      <c r="H173" s="3">
        <v>1945</v>
      </c>
      <c r="I173" s="3">
        <v>236</v>
      </c>
      <c r="J173" s="5">
        <v>7991</v>
      </c>
    </row>
    <row r="174" customHeight="1" spans="1:10">
      <c r="A174" s="3" t="s">
        <v>233</v>
      </c>
      <c r="B174" s="4">
        <v>45702</v>
      </c>
      <c r="C174" s="3" t="s">
        <v>27</v>
      </c>
      <c r="D174" s="3" t="s">
        <v>16</v>
      </c>
      <c r="E174" s="5">
        <v>9929.72</v>
      </c>
      <c r="F174" s="5">
        <v>8904.04</v>
      </c>
      <c r="G174" s="3">
        <v>80479</v>
      </c>
      <c r="H174" s="3">
        <v>3812</v>
      </c>
      <c r="I174" s="3">
        <v>427</v>
      </c>
      <c r="J174" s="5">
        <v>18914.49</v>
      </c>
    </row>
    <row r="175" customHeight="1" spans="1:10">
      <c r="A175" s="3" t="s">
        <v>234</v>
      </c>
      <c r="B175" s="4">
        <v>45703</v>
      </c>
      <c r="C175" s="3" t="s">
        <v>27</v>
      </c>
      <c r="D175" s="3" t="s">
        <v>15</v>
      </c>
      <c r="E175" s="5">
        <v>3038.65</v>
      </c>
      <c r="F175" s="5">
        <v>3174.29</v>
      </c>
      <c r="G175" s="3">
        <v>116892</v>
      </c>
      <c r="H175" s="3">
        <v>1613</v>
      </c>
      <c r="I175" s="3">
        <v>73</v>
      </c>
      <c r="J175" s="5">
        <v>3008.02</v>
      </c>
    </row>
    <row r="176" customHeight="1" spans="1:10">
      <c r="A176" s="3" t="s">
        <v>235</v>
      </c>
      <c r="B176" s="4">
        <v>45703</v>
      </c>
      <c r="C176" s="3" t="s">
        <v>26</v>
      </c>
      <c r="D176" s="3" t="s">
        <v>15</v>
      </c>
      <c r="E176" s="5">
        <v>6597.93</v>
      </c>
      <c r="F176" s="5">
        <v>6829.49</v>
      </c>
      <c r="G176" s="3">
        <v>112474</v>
      </c>
      <c r="H176" s="3">
        <v>3364</v>
      </c>
      <c r="I176" s="3">
        <v>62</v>
      </c>
      <c r="J176" s="5">
        <v>1977.57</v>
      </c>
    </row>
    <row r="177" customHeight="1" spans="1:10">
      <c r="A177" s="3" t="s">
        <v>236</v>
      </c>
      <c r="B177" s="4">
        <v>45703</v>
      </c>
      <c r="C177" s="3" t="s">
        <v>26</v>
      </c>
      <c r="D177" s="3" t="s">
        <v>15</v>
      </c>
      <c r="E177" s="5">
        <v>4805.32</v>
      </c>
      <c r="F177" s="5">
        <v>4090.61</v>
      </c>
      <c r="G177" s="3">
        <v>85109</v>
      </c>
      <c r="H177" s="3">
        <v>1336</v>
      </c>
      <c r="I177" s="3">
        <v>153</v>
      </c>
      <c r="J177" s="5">
        <v>6129.07</v>
      </c>
    </row>
    <row r="178" customHeight="1" spans="1:10">
      <c r="A178" s="3" t="s">
        <v>237</v>
      </c>
      <c r="B178" s="4">
        <v>45704</v>
      </c>
      <c r="C178" s="3" t="s">
        <v>20</v>
      </c>
      <c r="D178" s="3" t="s">
        <v>16</v>
      </c>
      <c r="E178" s="5">
        <v>3285.43</v>
      </c>
      <c r="F178" s="5">
        <v>3210.75</v>
      </c>
      <c r="G178" s="3">
        <v>155333</v>
      </c>
      <c r="H178" s="3">
        <v>2501</v>
      </c>
      <c r="I178" s="3">
        <v>402</v>
      </c>
      <c r="J178" s="5">
        <v>16211.43</v>
      </c>
    </row>
    <row r="179" customHeight="1" spans="1:10">
      <c r="A179" s="3" t="s">
        <v>238</v>
      </c>
      <c r="B179" s="4">
        <v>45705</v>
      </c>
      <c r="C179" s="3" t="s">
        <v>26</v>
      </c>
      <c r="D179" s="3" t="s">
        <v>15</v>
      </c>
      <c r="E179" s="5">
        <v>5265.27</v>
      </c>
      <c r="F179" s="5">
        <v>4984.07</v>
      </c>
      <c r="G179" s="3">
        <v>50640</v>
      </c>
      <c r="H179" s="3">
        <v>1609</v>
      </c>
      <c r="I179" s="3">
        <v>321</v>
      </c>
      <c r="J179" s="5">
        <v>13839.02</v>
      </c>
    </row>
    <row r="180" customHeight="1" spans="1:10">
      <c r="A180" s="3" t="s">
        <v>239</v>
      </c>
      <c r="B180" s="4">
        <v>45706</v>
      </c>
      <c r="C180" s="3" t="s">
        <v>24</v>
      </c>
      <c r="D180" s="3" t="s">
        <v>17</v>
      </c>
      <c r="E180" s="5">
        <v>5536.76</v>
      </c>
      <c r="F180" s="5">
        <v>5393.78</v>
      </c>
      <c r="G180" s="3">
        <v>99708</v>
      </c>
      <c r="H180" s="3">
        <v>4677</v>
      </c>
      <c r="I180" s="3">
        <v>700</v>
      </c>
      <c r="J180" s="5">
        <v>27277.55</v>
      </c>
    </row>
    <row r="181" customHeight="1" spans="1:10">
      <c r="A181" s="3" t="s">
        <v>240</v>
      </c>
      <c r="B181" s="4">
        <v>45706</v>
      </c>
      <c r="C181" s="3" t="s">
        <v>24</v>
      </c>
      <c r="D181" s="3" t="s">
        <v>18</v>
      </c>
      <c r="E181" s="5">
        <v>5591.11</v>
      </c>
      <c r="F181" s="5">
        <v>4498.81</v>
      </c>
      <c r="G181" s="3">
        <v>139883</v>
      </c>
      <c r="H181" s="3">
        <v>4226</v>
      </c>
      <c r="I181" s="3">
        <v>835</v>
      </c>
      <c r="J181" s="5">
        <v>39954.38</v>
      </c>
    </row>
    <row r="182" customHeight="1" spans="1:10">
      <c r="A182" s="3" t="s">
        <v>241</v>
      </c>
      <c r="B182" s="4">
        <v>45707</v>
      </c>
      <c r="C182" s="3" t="s">
        <v>25</v>
      </c>
      <c r="D182" s="3" t="s">
        <v>15</v>
      </c>
      <c r="E182" s="5">
        <v>5541.58</v>
      </c>
      <c r="F182" s="5">
        <v>5507.08</v>
      </c>
      <c r="G182" s="3">
        <v>113210</v>
      </c>
      <c r="H182" s="3">
        <v>1277</v>
      </c>
      <c r="I182" s="3">
        <v>208</v>
      </c>
      <c r="J182" s="5">
        <v>7721.66</v>
      </c>
    </row>
    <row r="183" customHeight="1" spans="1:10">
      <c r="A183" s="3" t="s">
        <v>242</v>
      </c>
      <c r="B183" s="4">
        <v>45707</v>
      </c>
      <c r="C183" s="3" t="s">
        <v>25</v>
      </c>
      <c r="D183" s="3" t="s">
        <v>16</v>
      </c>
      <c r="E183" s="5">
        <v>8121.13</v>
      </c>
      <c r="F183" s="5">
        <v>6695.78</v>
      </c>
      <c r="G183" s="3">
        <v>190122</v>
      </c>
      <c r="H183" s="3">
        <v>2084</v>
      </c>
      <c r="I183" s="3">
        <v>362</v>
      </c>
      <c r="J183" s="5">
        <v>7895.42</v>
      </c>
    </row>
    <row r="184" customHeight="1" spans="1:10">
      <c r="A184" s="3" t="s">
        <v>243</v>
      </c>
      <c r="B184" s="4">
        <v>45707</v>
      </c>
      <c r="C184" s="3" t="s">
        <v>27</v>
      </c>
      <c r="D184" s="3" t="s">
        <v>18</v>
      </c>
      <c r="E184" s="5">
        <v>7874.02</v>
      </c>
      <c r="F184" s="5">
        <v>7102.07</v>
      </c>
      <c r="G184" s="3">
        <v>194871</v>
      </c>
      <c r="H184" s="3">
        <v>7907</v>
      </c>
      <c r="I184" s="3">
        <v>784</v>
      </c>
      <c r="J184" s="5">
        <v>32726.51</v>
      </c>
    </row>
    <row r="185" customHeight="1" spans="1:10">
      <c r="A185" s="3" t="s">
        <v>244</v>
      </c>
      <c r="B185" s="4">
        <v>45708</v>
      </c>
      <c r="C185" s="3" t="s">
        <v>20</v>
      </c>
      <c r="D185" s="3" t="s">
        <v>18</v>
      </c>
      <c r="E185" s="5">
        <v>4052.92</v>
      </c>
      <c r="F185" s="5">
        <v>3964.73</v>
      </c>
      <c r="G185" s="3">
        <v>191309</v>
      </c>
      <c r="H185" s="3">
        <v>5182</v>
      </c>
      <c r="I185" s="3">
        <v>356</v>
      </c>
      <c r="J185" s="5">
        <v>11187.91</v>
      </c>
    </row>
    <row r="186" customHeight="1" spans="1:10">
      <c r="A186" s="3" t="s">
        <v>245</v>
      </c>
      <c r="B186" s="4">
        <v>45708</v>
      </c>
      <c r="C186" s="3" t="s">
        <v>24</v>
      </c>
      <c r="D186" s="3" t="s">
        <v>18</v>
      </c>
      <c r="E186" s="5">
        <v>7558.63</v>
      </c>
      <c r="F186" s="5">
        <v>6288.61</v>
      </c>
      <c r="G186" s="3">
        <v>112643</v>
      </c>
      <c r="H186" s="3">
        <v>4673</v>
      </c>
      <c r="I186" s="3">
        <v>506</v>
      </c>
      <c r="J186" s="5">
        <v>20106.09</v>
      </c>
    </row>
    <row r="187" customHeight="1" spans="1:10">
      <c r="A187" s="3" t="s">
        <v>246</v>
      </c>
      <c r="B187" s="4">
        <v>45708</v>
      </c>
      <c r="C187" s="3" t="s">
        <v>20</v>
      </c>
      <c r="D187" s="3" t="s">
        <v>15</v>
      </c>
      <c r="E187" s="5">
        <v>4731.44</v>
      </c>
      <c r="F187" s="5">
        <v>4424.67</v>
      </c>
      <c r="G187" s="3">
        <v>113689</v>
      </c>
      <c r="H187" s="3">
        <v>4258</v>
      </c>
      <c r="I187" s="3">
        <v>100</v>
      </c>
      <c r="J187" s="5">
        <v>2387.48</v>
      </c>
    </row>
    <row r="188" customHeight="1" spans="1:10">
      <c r="A188" s="3" t="s">
        <v>247</v>
      </c>
      <c r="B188" s="4">
        <v>45709</v>
      </c>
      <c r="C188" s="3" t="s">
        <v>26</v>
      </c>
      <c r="D188" s="3" t="s">
        <v>15</v>
      </c>
      <c r="E188" s="5">
        <v>4298.68</v>
      </c>
      <c r="F188" s="5">
        <v>4559.12</v>
      </c>
      <c r="G188" s="3">
        <v>160215</v>
      </c>
      <c r="H188" s="3">
        <v>4360</v>
      </c>
      <c r="I188" s="3">
        <v>734</v>
      </c>
      <c r="J188" s="5">
        <v>31780.66</v>
      </c>
    </row>
    <row r="189" customHeight="1" spans="1:10">
      <c r="A189" s="3" t="s">
        <v>248</v>
      </c>
      <c r="B189" s="4">
        <v>45709</v>
      </c>
      <c r="C189" s="3" t="s">
        <v>26</v>
      </c>
      <c r="D189" s="3" t="s">
        <v>16</v>
      </c>
      <c r="E189" s="5">
        <v>9786.29</v>
      </c>
      <c r="F189" s="5">
        <v>10370.06</v>
      </c>
      <c r="G189" s="3">
        <v>111502</v>
      </c>
      <c r="H189" s="3">
        <v>5082</v>
      </c>
      <c r="I189" s="3">
        <v>149</v>
      </c>
      <c r="J189" s="5">
        <v>6632.31</v>
      </c>
    </row>
    <row r="190" customHeight="1" spans="1:10">
      <c r="A190" s="3" t="s">
        <v>249</v>
      </c>
      <c r="B190" s="4">
        <v>45709</v>
      </c>
      <c r="C190" s="3" t="s">
        <v>25</v>
      </c>
      <c r="D190" s="3" t="s">
        <v>15</v>
      </c>
      <c r="E190" s="5">
        <v>6614.1</v>
      </c>
      <c r="F190" s="5">
        <v>5932.1</v>
      </c>
      <c r="G190" s="3">
        <v>175761</v>
      </c>
      <c r="H190" s="3">
        <v>4515</v>
      </c>
      <c r="I190" s="3">
        <v>649</v>
      </c>
      <c r="J190" s="5">
        <v>28462.28</v>
      </c>
    </row>
    <row r="191" customHeight="1" spans="1:10">
      <c r="A191" s="3" t="s">
        <v>250</v>
      </c>
      <c r="B191" s="4">
        <v>45710</v>
      </c>
      <c r="C191" s="3" t="s">
        <v>20</v>
      </c>
      <c r="D191" s="3" t="s">
        <v>18</v>
      </c>
      <c r="E191" s="5">
        <v>9789.38</v>
      </c>
      <c r="F191" s="5">
        <v>8107.27</v>
      </c>
      <c r="G191" s="3">
        <v>118097</v>
      </c>
      <c r="H191" s="3">
        <v>1117</v>
      </c>
      <c r="I191" s="3">
        <v>118</v>
      </c>
      <c r="J191" s="5">
        <v>4741.01</v>
      </c>
    </row>
    <row r="192" customHeight="1" spans="1:10">
      <c r="A192" s="3" t="s">
        <v>251</v>
      </c>
      <c r="B192" s="4">
        <v>45710</v>
      </c>
      <c r="C192" s="3" t="s">
        <v>27</v>
      </c>
      <c r="D192" s="3" t="s">
        <v>16</v>
      </c>
      <c r="E192" s="5">
        <v>7848.38</v>
      </c>
      <c r="F192" s="5">
        <v>8252.06</v>
      </c>
      <c r="G192" s="3">
        <v>55522</v>
      </c>
      <c r="H192" s="3">
        <v>2245</v>
      </c>
      <c r="I192" s="3">
        <v>185</v>
      </c>
      <c r="J192" s="5">
        <v>8942.61</v>
      </c>
    </row>
    <row r="193" customHeight="1" spans="1:10">
      <c r="A193" s="3" t="s">
        <v>252</v>
      </c>
      <c r="B193" s="4">
        <v>45710</v>
      </c>
      <c r="C193" s="3" t="s">
        <v>27</v>
      </c>
      <c r="D193" s="3" t="s">
        <v>16</v>
      </c>
      <c r="E193" s="5">
        <v>8520.18</v>
      </c>
      <c r="F193" s="5">
        <v>7203.83</v>
      </c>
      <c r="G193" s="3">
        <v>71137</v>
      </c>
      <c r="H193" s="3">
        <v>2638</v>
      </c>
      <c r="I193" s="3">
        <v>60</v>
      </c>
      <c r="J193" s="5">
        <v>1761.1</v>
      </c>
    </row>
    <row r="194" customHeight="1" spans="1:10">
      <c r="A194" s="3" t="s">
        <v>253</v>
      </c>
      <c r="B194" s="4">
        <v>45710</v>
      </c>
      <c r="C194" s="3" t="s">
        <v>27</v>
      </c>
      <c r="D194" s="3" t="s">
        <v>17</v>
      </c>
      <c r="E194" s="5">
        <v>9789.15</v>
      </c>
      <c r="F194" s="5">
        <v>7958.07</v>
      </c>
      <c r="G194" s="3">
        <v>115218</v>
      </c>
      <c r="H194" s="3">
        <v>1614</v>
      </c>
      <c r="I194" s="3">
        <v>62</v>
      </c>
      <c r="J194" s="5">
        <v>2897.53</v>
      </c>
    </row>
    <row r="195" customHeight="1" spans="1:10">
      <c r="A195" s="3" t="s">
        <v>254</v>
      </c>
      <c r="B195" s="4">
        <v>45710</v>
      </c>
      <c r="C195" s="3" t="s">
        <v>20</v>
      </c>
      <c r="D195" s="3" t="s">
        <v>17</v>
      </c>
      <c r="E195" s="5">
        <v>9141.38</v>
      </c>
      <c r="F195" s="5">
        <v>8020.49</v>
      </c>
      <c r="G195" s="3">
        <v>80391</v>
      </c>
      <c r="H195" s="3">
        <v>1900</v>
      </c>
      <c r="I195" s="3">
        <v>189</v>
      </c>
      <c r="J195" s="5">
        <v>7522.11</v>
      </c>
    </row>
    <row r="196" customHeight="1" spans="1:10">
      <c r="A196" s="3" t="s">
        <v>255</v>
      </c>
      <c r="B196" s="4">
        <v>45710</v>
      </c>
      <c r="C196" s="3" t="s">
        <v>25</v>
      </c>
      <c r="D196" s="3" t="s">
        <v>18</v>
      </c>
      <c r="E196" s="5">
        <v>3505.39</v>
      </c>
      <c r="F196" s="5">
        <v>2836.55</v>
      </c>
      <c r="G196" s="3">
        <v>113319</v>
      </c>
      <c r="H196" s="3">
        <v>2346</v>
      </c>
      <c r="I196" s="3">
        <v>225</v>
      </c>
      <c r="J196" s="5">
        <v>6239.36</v>
      </c>
    </row>
    <row r="197" customHeight="1" spans="1:10">
      <c r="A197" s="3" t="s">
        <v>256</v>
      </c>
      <c r="B197" s="4">
        <v>45711</v>
      </c>
      <c r="C197" s="3" t="s">
        <v>25</v>
      </c>
      <c r="D197" s="3" t="s">
        <v>15</v>
      </c>
      <c r="E197" s="5">
        <v>6659.13</v>
      </c>
      <c r="F197" s="5">
        <v>6181.42</v>
      </c>
      <c r="G197" s="3">
        <v>69731</v>
      </c>
      <c r="H197" s="3">
        <v>2872</v>
      </c>
      <c r="I197" s="3">
        <v>455</v>
      </c>
      <c r="J197" s="5">
        <v>9446.97</v>
      </c>
    </row>
    <row r="198" customHeight="1" spans="1:10">
      <c r="A198" s="3" t="s">
        <v>257</v>
      </c>
      <c r="B198" s="4">
        <v>45711</v>
      </c>
      <c r="C198" s="3" t="s">
        <v>24</v>
      </c>
      <c r="D198" s="3" t="s">
        <v>18</v>
      </c>
      <c r="E198" s="5">
        <v>6474.56</v>
      </c>
      <c r="F198" s="5">
        <v>6338.94</v>
      </c>
      <c r="G198" s="3">
        <v>106540</v>
      </c>
      <c r="H198" s="3">
        <v>3157</v>
      </c>
      <c r="I198" s="3">
        <v>459</v>
      </c>
      <c r="J198" s="5">
        <v>13782.54</v>
      </c>
    </row>
    <row r="199" customHeight="1" spans="1:10">
      <c r="A199" s="3" t="s">
        <v>258</v>
      </c>
      <c r="B199" s="4">
        <v>45711</v>
      </c>
      <c r="C199" s="3" t="s">
        <v>26</v>
      </c>
      <c r="D199" s="3" t="s">
        <v>17</v>
      </c>
      <c r="E199" s="5">
        <v>6488.57</v>
      </c>
      <c r="F199" s="5">
        <v>6006.32</v>
      </c>
      <c r="G199" s="3">
        <v>70597</v>
      </c>
      <c r="H199" s="3">
        <v>2706</v>
      </c>
      <c r="I199" s="3">
        <v>330</v>
      </c>
      <c r="J199" s="5">
        <v>15656.97</v>
      </c>
    </row>
    <row r="200" customHeight="1" spans="1:10">
      <c r="A200" s="3" t="s">
        <v>259</v>
      </c>
      <c r="B200" s="4">
        <v>45711</v>
      </c>
      <c r="C200" s="3" t="s">
        <v>26</v>
      </c>
      <c r="D200" s="3" t="s">
        <v>15</v>
      </c>
      <c r="E200" s="5">
        <v>9478.98</v>
      </c>
      <c r="F200" s="5">
        <v>8865.23</v>
      </c>
      <c r="G200" s="3">
        <v>50483</v>
      </c>
      <c r="H200" s="3">
        <v>1111</v>
      </c>
      <c r="I200" s="3">
        <v>104</v>
      </c>
      <c r="J200" s="5">
        <v>2433.3</v>
      </c>
    </row>
    <row r="201" customHeight="1" spans="1:10">
      <c r="A201" s="3" t="s">
        <v>260</v>
      </c>
      <c r="B201" s="4">
        <v>45712</v>
      </c>
      <c r="C201" s="3" t="s">
        <v>24</v>
      </c>
      <c r="D201" s="3" t="s">
        <v>15</v>
      </c>
      <c r="E201" s="5">
        <v>9914.06</v>
      </c>
      <c r="F201" s="5">
        <v>9203.54</v>
      </c>
      <c r="G201" s="3">
        <v>111688</v>
      </c>
      <c r="H201" s="3">
        <v>2013</v>
      </c>
      <c r="I201" s="3">
        <v>234</v>
      </c>
      <c r="J201" s="5">
        <v>7377.97</v>
      </c>
    </row>
    <row r="202" customHeight="1" spans="1:10">
      <c r="A202" s="3" t="s">
        <v>261</v>
      </c>
      <c r="B202" s="4">
        <v>45712</v>
      </c>
      <c r="C202" s="3" t="s">
        <v>24</v>
      </c>
      <c r="D202" s="3" t="s">
        <v>15</v>
      </c>
      <c r="E202" s="5">
        <v>3818.29</v>
      </c>
      <c r="F202" s="5">
        <v>4131.2</v>
      </c>
      <c r="G202" s="3">
        <v>197165</v>
      </c>
      <c r="H202" s="3">
        <v>8105</v>
      </c>
      <c r="I202" s="3">
        <v>869</v>
      </c>
      <c r="J202" s="5">
        <v>33744.35</v>
      </c>
    </row>
    <row r="203" customHeight="1" spans="1:10">
      <c r="A203" s="3" t="s">
        <v>262</v>
      </c>
      <c r="B203" s="4">
        <v>45712</v>
      </c>
      <c r="C203" s="3" t="s">
        <v>25</v>
      </c>
      <c r="D203" s="3" t="s">
        <v>18</v>
      </c>
      <c r="E203" s="5">
        <v>5277.8</v>
      </c>
      <c r="F203" s="5">
        <v>5404.19</v>
      </c>
      <c r="G203" s="3">
        <v>173181</v>
      </c>
      <c r="H203" s="3">
        <v>6365</v>
      </c>
      <c r="I203" s="3">
        <v>651</v>
      </c>
      <c r="J203" s="5">
        <v>25707.33</v>
      </c>
    </row>
    <row r="204" customHeight="1" spans="1:10">
      <c r="A204" s="3" t="s">
        <v>263</v>
      </c>
      <c r="B204" s="4">
        <v>45713</v>
      </c>
      <c r="C204" s="3" t="s">
        <v>24</v>
      </c>
      <c r="D204" s="3" t="s">
        <v>15</v>
      </c>
      <c r="E204" s="5">
        <v>4067.77</v>
      </c>
      <c r="F204" s="5">
        <v>3957.48</v>
      </c>
      <c r="G204" s="3">
        <v>74611</v>
      </c>
      <c r="H204" s="3">
        <v>2423</v>
      </c>
      <c r="I204" s="3">
        <v>354</v>
      </c>
      <c r="J204" s="5">
        <v>13523.31</v>
      </c>
    </row>
    <row r="205" customHeight="1" spans="1:10">
      <c r="A205" s="3" t="s">
        <v>264</v>
      </c>
      <c r="B205" s="4">
        <v>45713</v>
      </c>
      <c r="C205" s="3" t="s">
        <v>27</v>
      </c>
      <c r="D205" s="3" t="s">
        <v>18</v>
      </c>
      <c r="E205" s="5">
        <v>9062.45</v>
      </c>
      <c r="F205" s="5">
        <v>7372.9</v>
      </c>
      <c r="G205" s="3">
        <v>105156</v>
      </c>
      <c r="H205" s="3">
        <v>3813</v>
      </c>
      <c r="I205" s="3">
        <v>632</v>
      </c>
      <c r="J205" s="5">
        <v>13139.92</v>
      </c>
    </row>
    <row r="206" customHeight="1" spans="1:10">
      <c r="A206" s="3" t="s">
        <v>265</v>
      </c>
      <c r="B206" s="4">
        <v>45713</v>
      </c>
      <c r="C206" s="3" t="s">
        <v>20</v>
      </c>
      <c r="D206" s="3" t="s">
        <v>17</v>
      </c>
      <c r="E206" s="5">
        <v>8281.8</v>
      </c>
      <c r="F206" s="5">
        <v>6881.66</v>
      </c>
      <c r="G206" s="3">
        <v>77279</v>
      </c>
      <c r="H206" s="3">
        <v>3326</v>
      </c>
      <c r="I206" s="3">
        <v>210</v>
      </c>
      <c r="J206" s="5">
        <v>9886.08</v>
      </c>
    </row>
    <row r="207" customHeight="1" spans="1:10">
      <c r="A207" s="3" t="s">
        <v>266</v>
      </c>
      <c r="B207" s="4">
        <v>45713</v>
      </c>
      <c r="C207" s="3" t="s">
        <v>26</v>
      </c>
      <c r="D207" s="3" t="s">
        <v>16</v>
      </c>
      <c r="E207" s="5">
        <v>5454.39</v>
      </c>
      <c r="F207" s="5">
        <v>4417.84</v>
      </c>
      <c r="G207" s="3">
        <v>111462</v>
      </c>
      <c r="H207" s="3">
        <v>5187</v>
      </c>
      <c r="I207" s="3">
        <v>280</v>
      </c>
      <c r="J207" s="5">
        <v>6260.06</v>
      </c>
    </row>
    <row r="208" customHeight="1" spans="1:10">
      <c r="A208" s="3" t="s">
        <v>267</v>
      </c>
      <c r="B208" s="4">
        <v>45713</v>
      </c>
      <c r="C208" s="3" t="s">
        <v>24</v>
      </c>
      <c r="D208" s="3" t="s">
        <v>18</v>
      </c>
      <c r="E208" s="5">
        <v>6518.46</v>
      </c>
      <c r="F208" s="5">
        <v>6342.93</v>
      </c>
      <c r="G208" s="3">
        <v>103713</v>
      </c>
      <c r="H208" s="3">
        <v>2193</v>
      </c>
      <c r="I208" s="3">
        <v>165</v>
      </c>
      <c r="J208" s="5">
        <v>5737.96</v>
      </c>
    </row>
    <row r="209" customHeight="1" spans="1:10">
      <c r="A209" s="3" t="s">
        <v>268</v>
      </c>
      <c r="B209" s="4">
        <v>45714</v>
      </c>
      <c r="C209" s="3" t="s">
        <v>26</v>
      </c>
      <c r="D209" s="3" t="s">
        <v>15</v>
      </c>
      <c r="E209" s="5">
        <v>6412.02</v>
      </c>
      <c r="F209" s="5">
        <v>6850.38</v>
      </c>
      <c r="G209" s="3">
        <v>180247</v>
      </c>
      <c r="H209" s="3">
        <v>6040</v>
      </c>
      <c r="I209" s="3">
        <v>1020</v>
      </c>
      <c r="J209" s="5">
        <v>44875.57</v>
      </c>
    </row>
    <row r="210" customHeight="1" spans="1:10">
      <c r="A210" s="3" t="s">
        <v>269</v>
      </c>
      <c r="B210" s="4">
        <v>45714</v>
      </c>
      <c r="C210" s="3" t="s">
        <v>25</v>
      </c>
      <c r="D210" s="3" t="s">
        <v>17</v>
      </c>
      <c r="E210" s="5">
        <v>8458.96</v>
      </c>
      <c r="F210" s="5">
        <v>6867.71</v>
      </c>
      <c r="G210" s="3">
        <v>151737</v>
      </c>
      <c r="H210" s="3">
        <v>6324</v>
      </c>
      <c r="I210" s="3">
        <v>1140</v>
      </c>
      <c r="J210" s="5">
        <v>39233.34</v>
      </c>
    </row>
    <row r="211" customHeight="1" spans="1:10">
      <c r="A211" s="3" t="s">
        <v>270</v>
      </c>
      <c r="B211" s="4">
        <v>45715</v>
      </c>
      <c r="C211" s="3" t="s">
        <v>24</v>
      </c>
      <c r="D211" s="3" t="s">
        <v>17</v>
      </c>
      <c r="E211" s="5">
        <v>7395.3</v>
      </c>
      <c r="F211" s="5">
        <v>6097.63</v>
      </c>
      <c r="G211" s="3">
        <v>109858</v>
      </c>
      <c r="H211" s="3">
        <v>3804</v>
      </c>
      <c r="I211" s="3">
        <v>713</v>
      </c>
      <c r="J211" s="5">
        <v>32945.85</v>
      </c>
    </row>
    <row r="212" customHeight="1" spans="1:10">
      <c r="A212" s="3" t="s">
        <v>271</v>
      </c>
      <c r="B212" s="4">
        <v>45715</v>
      </c>
      <c r="C212" s="3" t="s">
        <v>20</v>
      </c>
      <c r="D212" s="3" t="s">
        <v>18</v>
      </c>
      <c r="E212" s="5">
        <v>9268.66</v>
      </c>
      <c r="F212" s="5">
        <v>8497.14</v>
      </c>
      <c r="G212" s="3">
        <v>168167</v>
      </c>
      <c r="H212" s="3">
        <v>4467</v>
      </c>
      <c r="I212" s="3">
        <v>63</v>
      </c>
      <c r="J212" s="5">
        <v>1280.48</v>
      </c>
    </row>
    <row r="213" customHeight="1" spans="1:10">
      <c r="A213" s="3" t="s">
        <v>272</v>
      </c>
      <c r="B213" s="4">
        <v>45715</v>
      </c>
      <c r="C213" s="3" t="s">
        <v>27</v>
      </c>
      <c r="D213" s="3" t="s">
        <v>17</v>
      </c>
      <c r="E213" s="5">
        <v>7701.9</v>
      </c>
      <c r="F213" s="5">
        <v>7589.75</v>
      </c>
      <c r="G213" s="3">
        <v>59223</v>
      </c>
      <c r="H213" s="3">
        <v>1286</v>
      </c>
      <c r="I213" s="3">
        <v>233</v>
      </c>
      <c r="J213" s="5">
        <v>7163.56</v>
      </c>
    </row>
    <row r="214" customHeight="1" spans="1:10">
      <c r="A214" s="3" t="s">
        <v>273</v>
      </c>
      <c r="B214" s="4">
        <v>45716</v>
      </c>
      <c r="C214" s="3" t="s">
        <v>27</v>
      </c>
      <c r="D214" s="3" t="s">
        <v>18</v>
      </c>
      <c r="E214" s="5">
        <v>5473.47</v>
      </c>
      <c r="F214" s="5">
        <v>5337.16</v>
      </c>
      <c r="G214" s="3">
        <v>95888</v>
      </c>
      <c r="H214" s="3">
        <v>2400</v>
      </c>
      <c r="I214" s="3">
        <v>189</v>
      </c>
      <c r="J214" s="5">
        <v>4220.76</v>
      </c>
    </row>
    <row r="215" customHeight="1" spans="1:10">
      <c r="A215" s="3" t="s">
        <v>274</v>
      </c>
      <c r="B215" s="4">
        <v>45716</v>
      </c>
      <c r="C215" s="3" t="s">
        <v>26</v>
      </c>
      <c r="D215" s="3" t="s">
        <v>16</v>
      </c>
      <c r="E215" s="5">
        <v>8002.17</v>
      </c>
      <c r="F215" s="5">
        <v>7986.64</v>
      </c>
      <c r="G215" s="3">
        <v>178492</v>
      </c>
      <c r="H215" s="3">
        <v>2018</v>
      </c>
      <c r="I215" s="3">
        <v>385</v>
      </c>
      <c r="J215" s="5">
        <v>10933.24</v>
      </c>
    </row>
    <row r="216" customHeight="1" spans="1:10">
      <c r="A216" s="3" t="s">
        <v>275</v>
      </c>
      <c r="B216" s="4">
        <v>45716</v>
      </c>
      <c r="C216" s="3" t="s">
        <v>24</v>
      </c>
      <c r="D216" s="3" t="s">
        <v>17</v>
      </c>
      <c r="E216" s="5">
        <v>4125.32</v>
      </c>
      <c r="F216" s="5">
        <v>4312.57</v>
      </c>
      <c r="G216" s="3">
        <v>119124</v>
      </c>
      <c r="H216" s="3">
        <v>3940</v>
      </c>
      <c r="I216" s="3">
        <v>727</v>
      </c>
      <c r="J216" s="5">
        <v>32688.85</v>
      </c>
    </row>
    <row r="217" customHeight="1" spans="1:10">
      <c r="A217" s="3" t="s">
        <v>276</v>
      </c>
      <c r="B217" s="4">
        <v>45717</v>
      </c>
      <c r="C217" s="3" t="s">
        <v>27</v>
      </c>
      <c r="D217" s="3" t="s">
        <v>15</v>
      </c>
      <c r="E217" s="5">
        <v>8720.56</v>
      </c>
      <c r="F217" s="5">
        <v>8428.95</v>
      </c>
      <c r="G217" s="3">
        <v>136864</v>
      </c>
      <c r="H217" s="3">
        <v>3696</v>
      </c>
      <c r="I217" s="3">
        <v>599</v>
      </c>
      <c r="J217" s="5">
        <v>21497.82</v>
      </c>
    </row>
    <row r="218" customHeight="1" spans="1:10">
      <c r="A218" s="3" t="s">
        <v>277</v>
      </c>
      <c r="B218" s="4">
        <v>45718</v>
      </c>
      <c r="C218" s="3" t="s">
        <v>26</v>
      </c>
      <c r="D218" s="3" t="s">
        <v>15</v>
      </c>
      <c r="E218" s="5">
        <v>9274.35</v>
      </c>
      <c r="F218" s="5">
        <v>7455.66</v>
      </c>
      <c r="G218" s="3">
        <v>195593</v>
      </c>
      <c r="H218" s="3">
        <v>5136</v>
      </c>
      <c r="I218" s="3">
        <v>798</v>
      </c>
      <c r="J218" s="5">
        <v>18007.07</v>
      </c>
    </row>
    <row r="219" customHeight="1" spans="1:10">
      <c r="A219" s="3" t="s">
        <v>278</v>
      </c>
      <c r="B219" s="4">
        <v>45718</v>
      </c>
      <c r="C219" s="3" t="s">
        <v>25</v>
      </c>
      <c r="D219" s="3" t="s">
        <v>15</v>
      </c>
      <c r="E219" s="5">
        <v>3318.12</v>
      </c>
      <c r="F219" s="5">
        <v>2934.18</v>
      </c>
      <c r="G219" s="3">
        <v>173652</v>
      </c>
      <c r="H219" s="3">
        <v>3397</v>
      </c>
      <c r="I219" s="3">
        <v>329</v>
      </c>
      <c r="J219" s="5">
        <v>15960.56</v>
      </c>
    </row>
    <row r="220" customHeight="1" spans="1:10">
      <c r="A220" s="3" t="s">
        <v>279</v>
      </c>
      <c r="B220" s="4">
        <v>45719</v>
      </c>
      <c r="C220" s="3" t="s">
        <v>20</v>
      </c>
      <c r="D220" s="3" t="s">
        <v>16</v>
      </c>
      <c r="E220" s="5">
        <v>9964.35</v>
      </c>
      <c r="F220" s="5">
        <v>8491.31</v>
      </c>
      <c r="G220" s="3">
        <v>124998</v>
      </c>
      <c r="H220" s="3">
        <v>5305</v>
      </c>
      <c r="I220" s="3">
        <v>1051</v>
      </c>
      <c r="J220" s="5">
        <v>33513.51</v>
      </c>
    </row>
    <row r="221" customHeight="1" spans="1:10">
      <c r="A221" s="3" t="s">
        <v>280</v>
      </c>
      <c r="B221" s="4">
        <v>45719</v>
      </c>
      <c r="C221" s="3" t="s">
        <v>24</v>
      </c>
      <c r="D221" s="3" t="s">
        <v>16</v>
      </c>
      <c r="E221" s="5">
        <v>6238.36</v>
      </c>
      <c r="F221" s="5">
        <v>6615.67</v>
      </c>
      <c r="G221" s="3">
        <v>97411</v>
      </c>
      <c r="H221" s="3">
        <v>2282</v>
      </c>
      <c r="I221" s="3">
        <v>391</v>
      </c>
      <c r="J221" s="5">
        <v>16349.69</v>
      </c>
    </row>
    <row r="222" customHeight="1" spans="1:10">
      <c r="A222" s="3" t="s">
        <v>281</v>
      </c>
      <c r="B222" s="4">
        <v>45719</v>
      </c>
      <c r="C222" s="3" t="s">
        <v>25</v>
      </c>
      <c r="D222" s="3" t="s">
        <v>15</v>
      </c>
      <c r="E222" s="5">
        <v>3320.19</v>
      </c>
      <c r="F222" s="5">
        <v>3524.25</v>
      </c>
      <c r="G222" s="3">
        <v>180485</v>
      </c>
      <c r="H222" s="3">
        <v>1392</v>
      </c>
      <c r="I222" s="3">
        <v>278</v>
      </c>
      <c r="J222" s="5">
        <v>13678.9</v>
      </c>
    </row>
    <row r="223" customHeight="1" spans="1:10">
      <c r="A223" s="3" t="s">
        <v>282</v>
      </c>
      <c r="B223" s="4">
        <v>45719</v>
      </c>
      <c r="C223" s="3" t="s">
        <v>25</v>
      </c>
      <c r="D223" s="3" t="s">
        <v>17</v>
      </c>
      <c r="E223" s="5">
        <v>8802.18</v>
      </c>
      <c r="F223" s="5">
        <v>8179.57</v>
      </c>
      <c r="G223" s="3">
        <v>109943</v>
      </c>
      <c r="H223" s="3">
        <v>4843</v>
      </c>
      <c r="I223" s="3">
        <v>579</v>
      </c>
      <c r="J223" s="5">
        <v>15900.17</v>
      </c>
    </row>
    <row r="224" customHeight="1" spans="1:10">
      <c r="A224" s="3" t="s">
        <v>283</v>
      </c>
      <c r="B224" s="4">
        <v>45719</v>
      </c>
      <c r="C224" s="3" t="s">
        <v>24</v>
      </c>
      <c r="D224" s="3" t="s">
        <v>16</v>
      </c>
      <c r="E224" s="5">
        <v>8995.43</v>
      </c>
      <c r="F224" s="5">
        <v>8973.91</v>
      </c>
      <c r="G224" s="3">
        <v>65860</v>
      </c>
      <c r="H224" s="3">
        <v>1196</v>
      </c>
      <c r="I224" s="3">
        <v>210</v>
      </c>
      <c r="J224" s="5">
        <v>5226.49</v>
      </c>
    </row>
    <row r="225" customHeight="1" spans="1:10">
      <c r="A225" s="3" t="s">
        <v>284</v>
      </c>
      <c r="B225" s="4">
        <v>45720</v>
      </c>
      <c r="C225" s="3" t="s">
        <v>24</v>
      </c>
      <c r="D225" s="3" t="s">
        <v>15</v>
      </c>
      <c r="E225" s="5">
        <v>4510.75</v>
      </c>
      <c r="F225" s="5">
        <v>4451.51</v>
      </c>
      <c r="G225" s="3">
        <v>51577</v>
      </c>
      <c r="H225" s="3">
        <v>1434</v>
      </c>
      <c r="I225" s="3">
        <v>154</v>
      </c>
      <c r="J225" s="5">
        <v>3474.31</v>
      </c>
    </row>
    <row r="226" customHeight="1" spans="1:10">
      <c r="A226" s="3" t="s">
        <v>285</v>
      </c>
      <c r="B226" s="4">
        <v>45720</v>
      </c>
      <c r="C226" s="3" t="s">
        <v>26</v>
      </c>
      <c r="D226" s="3" t="s">
        <v>16</v>
      </c>
      <c r="E226" s="5">
        <v>9820.76</v>
      </c>
      <c r="F226" s="5">
        <v>10762.21</v>
      </c>
      <c r="G226" s="3">
        <v>130274</v>
      </c>
      <c r="H226" s="3">
        <v>3999</v>
      </c>
      <c r="I226" s="3">
        <v>83</v>
      </c>
      <c r="J226" s="5">
        <v>3398.42</v>
      </c>
    </row>
    <row r="227" customHeight="1" spans="1:10">
      <c r="A227" s="3" t="s">
        <v>286</v>
      </c>
      <c r="B227" s="4">
        <v>45721</v>
      </c>
      <c r="C227" s="3" t="s">
        <v>26</v>
      </c>
      <c r="D227" s="3" t="s">
        <v>18</v>
      </c>
      <c r="E227" s="5">
        <v>5509.26</v>
      </c>
      <c r="F227" s="5">
        <v>4598.91</v>
      </c>
      <c r="G227" s="3">
        <v>145792</v>
      </c>
      <c r="H227" s="3">
        <v>2973</v>
      </c>
      <c r="I227" s="3">
        <v>495</v>
      </c>
      <c r="J227" s="5">
        <v>22717.09</v>
      </c>
    </row>
    <row r="228" customHeight="1" spans="1:10">
      <c r="A228" s="3" t="s">
        <v>287</v>
      </c>
      <c r="B228" s="4">
        <v>45721</v>
      </c>
      <c r="C228" s="3" t="s">
        <v>20</v>
      </c>
      <c r="D228" s="3" t="s">
        <v>18</v>
      </c>
      <c r="E228" s="5">
        <v>8055.77</v>
      </c>
      <c r="F228" s="5">
        <v>8184.75</v>
      </c>
      <c r="G228" s="3">
        <v>194986</v>
      </c>
      <c r="H228" s="3">
        <v>2202</v>
      </c>
      <c r="I228" s="3">
        <v>364</v>
      </c>
      <c r="J228" s="5">
        <v>14281.33</v>
      </c>
    </row>
    <row r="229" customHeight="1" spans="1:10">
      <c r="A229" s="3" t="s">
        <v>288</v>
      </c>
      <c r="B229" s="4">
        <v>45722</v>
      </c>
      <c r="C229" s="3" t="s">
        <v>20</v>
      </c>
      <c r="D229" s="3" t="s">
        <v>16</v>
      </c>
      <c r="E229" s="5">
        <v>7433.83</v>
      </c>
      <c r="F229" s="5">
        <v>7890.55</v>
      </c>
      <c r="G229" s="3">
        <v>86560</v>
      </c>
      <c r="H229" s="3">
        <v>3682</v>
      </c>
      <c r="I229" s="3">
        <v>609</v>
      </c>
      <c r="J229" s="5">
        <v>26863.09</v>
      </c>
    </row>
    <row r="230" customHeight="1" spans="1:10">
      <c r="A230" s="3" t="s">
        <v>289</v>
      </c>
      <c r="B230" s="4">
        <v>45722</v>
      </c>
      <c r="C230" s="3" t="s">
        <v>24</v>
      </c>
      <c r="D230" s="3" t="s">
        <v>16</v>
      </c>
      <c r="E230" s="5">
        <v>9782.14</v>
      </c>
      <c r="F230" s="5">
        <v>10025.67</v>
      </c>
      <c r="G230" s="3">
        <v>149220</v>
      </c>
      <c r="H230" s="3">
        <v>5688</v>
      </c>
      <c r="I230" s="3">
        <v>531</v>
      </c>
      <c r="J230" s="5">
        <v>12692.27</v>
      </c>
    </row>
    <row r="231" customHeight="1" spans="1:10">
      <c r="A231" s="3" t="s">
        <v>290</v>
      </c>
      <c r="B231" s="4">
        <v>45724</v>
      </c>
      <c r="C231" s="3" t="s">
        <v>25</v>
      </c>
      <c r="D231" s="3" t="s">
        <v>18</v>
      </c>
      <c r="E231" s="5">
        <v>6841.14</v>
      </c>
      <c r="F231" s="5">
        <v>6892.92</v>
      </c>
      <c r="G231" s="3">
        <v>138384</v>
      </c>
      <c r="H231" s="3">
        <v>3042</v>
      </c>
      <c r="I231" s="3">
        <v>323</v>
      </c>
      <c r="J231" s="5">
        <v>12777.5</v>
      </c>
    </row>
    <row r="232" customHeight="1" spans="1:10">
      <c r="A232" s="3" t="s">
        <v>291</v>
      </c>
      <c r="B232" s="4">
        <v>45724</v>
      </c>
      <c r="C232" s="3" t="s">
        <v>27</v>
      </c>
      <c r="D232" s="3" t="s">
        <v>15</v>
      </c>
      <c r="E232" s="5">
        <v>4274.83</v>
      </c>
      <c r="F232" s="5">
        <v>4432.61</v>
      </c>
      <c r="G232" s="3">
        <v>108943</v>
      </c>
      <c r="H232" s="3">
        <v>3924</v>
      </c>
      <c r="I232" s="3">
        <v>687</v>
      </c>
      <c r="J232" s="5">
        <v>27315.97</v>
      </c>
    </row>
    <row r="233" customHeight="1" spans="1:10">
      <c r="A233" s="3" t="s">
        <v>292</v>
      </c>
      <c r="B233" s="4">
        <v>45724</v>
      </c>
      <c r="C233" s="3" t="s">
        <v>20</v>
      </c>
      <c r="D233" s="3" t="s">
        <v>15</v>
      </c>
      <c r="E233" s="5">
        <v>9630.98</v>
      </c>
      <c r="F233" s="5">
        <v>8147.86</v>
      </c>
      <c r="G233" s="3">
        <v>77672</v>
      </c>
      <c r="H233" s="3">
        <v>2185</v>
      </c>
      <c r="I233" s="3">
        <v>376</v>
      </c>
      <c r="J233" s="5">
        <v>14132.67</v>
      </c>
    </row>
    <row r="234" customHeight="1" spans="1:10">
      <c r="A234" s="3" t="s">
        <v>293</v>
      </c>
      <c r="B234" s="4">
        <v>45725</v>
      </c>
      <c r="C234" s="3" t="s">
        <v>20</v>
      </c>
      <c r="D234" s="3" t="s">
        <v>18</v>
      </c>
      <c r="E234" s="5">
        <v>6826.97</v>
      </c>
      <c r="F234" s="5">
        <v>5840.17</v>
      </c>
      <c r="G234" s="3">
        <v>186370</v>
      </c>
      <c r="H234" s="3">
        <v>9073</v>
      </c>
      <c r="I234" s="3">
        <v>1366</v>
      </c>
      <c r="J234" s="5">
        <v>67053.58</v>
      </c>
    </row>
    <row r="235" customHeight="1" spans="1:10">
      <c r="A235" s="3" t="s">
        <v>294</v>
      </c>
      <c r="B235" s="4">
        <v>45725</v>
      </c>
      <c r="C235" s="3" t="s">
        <v>27</v>
      </c>
      <c r="D235" s="3" t="s">
        <v>17</v>
      </c>
      <c r="E235" s="5">
        <v>4490.75</v>
      </c>
      <c r="F235" s="5">
        <v>3776.32</v>
      </c>
      <c r="G235" s="3">
        <v>158774</v>
      </c>
      <c r="H235" s="3">
        <v>5263</v>
      </c>
      <c r="I235" s="3">
        <v>268</v>
      </c>
      <c r="J235" s="5">
        <v>5476.94</v>
      </c>
    </row>
    <row r="236" customHeight="1" spans="1:10">
      <c r="A236" s="3" t="s">
        <v>295</v>
      </c>
      <c r="B236" s="4">
        <v>45725</v>
      </c>
      <c r="C236" s="3" t="s">
        <v>24</v>
      </c>
      <c r="D236" s="3" t="s">
        <v>15</v>
      </c>
      <c r="E236" s="5">
        <v>4366.7</v>
      </c>
      <c r="F236" s="5">
        <v>4439.78</v>
      </c>
      <c r="G236" s="3">
        <v>110834</v>
      </c>
      <c r="H236" s="3">
        <v>4636</v>
      </c>
      <c r="I236" s="3">
        <v>797</v>
      </c>
      <c r="J236" s="5">
        <v>22653.27</v>
      </c>
    </row>
    <row r="237" customHeight="1" spans="1:10">
      <c r="A237" s="3" t="s">
        <v>296</v>
      </c>
      <c r="B237" s="4">
        <v>45725</v>
      </c>
      <c r="C237" s="3" t="s">
        <v>20</v>
      </c>
      <c r="D237" s="3" t="s">
        <v>17</v>
      </c>
      <c r="E237" s="5">
        <v>9421.2</v>
      </c>
      <c r="F237" s="5">
        <v>7923.66</v>
      </c>
      <c r="G237" s="3">
        <v>111608</v>
      </c>
      <c r="H237" s="3">
        <v>4858</v>
      </c>
      <c r="I237" s="3">
        <v>347</v>
      </c>
      <c r="J237" s="5">
        <v>16831.97</v>
      </c>
    </row>
    <row r="238" customHeight="1" spans="1:10">
      <c r="A238" s="3" t="s">
        <v>297</v>
      </c>
      <c r="B238" s="4">
        <v>45726</v>
      </c>
      <c r="C238" s="3" t="s">
        <v>25</v>
      </c>
      <c r="D238" s="3" t="s">
        <v>18</v>
      </c>
      <c r="E238" s="5">
        <v>3170.81</v>
      </c>
      <c r="F238" s="5">
        <v>3364.32</v>
      </c>
      <c r="G238" s="3">
        <v>132053</v>
      </c>
      <c r="H238" s="3">
        <v>4867</v>
      </c>
      <c r="I238" s="3">
        <v>162</v>
      </c>
      <c r="J238" s="5">
        <v>3343.37</v>
      </c>
    </row>
    <row r="239" customHeight="1" spans="1:10">
      <c r="A239" s="3" t="s">
        <v>298</v>
      </c>
      <c r="B239" s="4">
        <v>45726</v>
      </c>
      <c r="C239" s="3" t="s">
        <v>27</v>
      </c>
      <c r="D239" s="3" t="s">
        <v>16</v>
      </c>
      <c r="E239" s="5">
        <v>9277.52</v>
      </c>
      <c r="F239" s="5">
        <v>8741.17</v>
      </c>
      <c r="G239" s="3">
        <v>141253</v>
      </c>
      <c r="H239" s="3">
        <v>2934</v>
      </c>
      <c r="I239" s="3">
        <v>357</v>
      </c>
      <c r="J239" s="5">
        <v>14289.54</v>
      </c>
    </row>
    <row r="240" customHeight="1" spans="1:10">
      <c r="A240" s="3" t="s">
        <v>299</v>
      </c>
      <c r="B240" s="4">
        <v>45726</v>
      </c>
      <c r="C240" s="3" t="s">
        <v>27</v>
      </c>
      <c r="D240" s="3" t="s">
        <v>18</v>
      </c>
      <c r="E240" s="5">
        <v>7254.16</v>
      </c>
      <c r="F240" s="5">
        <v>6919.07</v>
      </c>
      <c r="G240" s="3">
        <v>152738</v>
      </c>
      <c r="H240" s="3">
        <v>4601</v>
      </c>
      <c r="I240" s="3">
        <v>244</v>
      </c>
      <c r="J240" s="5">
        <v>6568.5</v>
      </c>
    </row>
    <row r="241" customHeight="1" spans="1:10">
      <c r="A241" s="3" t="s">
        <v>300</v>
      </c>
      <c r="B241" s="4">
        <v>45726</v>
      </c>
      <c r="C241" s="3" t="s">
        <v>27</v>
      </c>
      <c r="D241" s="3" t="s">
        <v>16</v>
      </c>
      <c r="E241" s="5">
        <v>4762.48</v>
      </c>
      <c r="F241" s="5">
        <v>4520.42</v>
      </c>
      <c r="G241" s="3">
        <v>100064</v>
      </c>
      <c r="H241" s="3">
        <v>1424</v>
      </c>
      <c r="I241" s="3">
        <v>261</v>
      </c>
      <c r="J241" s="5">
        <v>7575.88</v>
      </c>
    </row>
    <row r="242" customHeight="1" spans="1:10">
      <c r="A242" s="3" t="s">
        <v>301</v>
      </c>
      <c r="B242" s="4">
        <v>45727</v>
      </c>
      <c r="C242" s="3" t="s">
        <v>26</v>
      </c>
      <c r="D242" s="3" t="s">
        <v>17</v>
      </c>
      <c r="E242" s="5">
        <v>6788.87</v>
      </c>
      <c r="F242" s="5">
        <v>7392.38</v>
      </c>
      <c r="G242" s="3">
        <v>91252</v>
      </c>
      <c r="H242" s="3">
        <v>1758</v>
      </c>
      <c r="I242" s="3">
        <v>270</v>
      </c>
      <c r="J242" s="5">
        <v>8169.16</v>
      </c>
    </row>
    <row r="243" customHeight="1" spans="1:10">
      <c r="A243" s="3" t="s">
        <v>302</v>
      </c>
      <c r="B243" s="4">
        <v>45727</v>
      </c>
      <c r="C243" s="3" t="s">
        <v>25</v>
      </c>
      <c r="D243" s="3" t="s">
        <v>15</v>
      </c>
      <c r="E243" s="5">
        <v>6021.62</v>
      </c>
      <c r="F243" s="5">
        <v>5047.77</v>
      </c>
      <c r="G243" s="3">
        <v>133310</v>
      </c>
      <c r="H243" s="3">
        <v>4783</v>
      </c>
      <c r="I243" s="3">
        <v>857</v>
      </c>
      <c r="J243" s="5">
        <v>24435.88</v>
      </c>
    </row>
    <row r="244" customHeight="1" spans="1:10">
      <c r="A244" s="3" t="s">
        <v>303</v>
      </c>
      <c r="B244" s="4">
        <v>45727</v>
      </c>
      <c r="C244" s="3" t="s">
        <v>25</v>
      </c>
      <c r="D244" s="3" t="s">
        <v>15</v>
      </c>
      <c r="E244" s="5">
        <v>3217.94</v>
      </c>
      <c r="F244" s="5">
        <v>3203.46</v>
      </c>
      <c r="G244" s="3">
        <v>129278</v>
      </c>
      <c r="H244" s="3">
        <v>5246</v>
      </c>
      <c r="I244" s="3">
        <v>346</v>
      </c>
      <c r="J244" s="5">
        <v>10745.3</v>
      </c>
    </row>
    <row r="245" customHeight="1" spans="1:10">
      <c r="A245" s="3" t="s">
        <v>304</v>
      </c>
      <c r="B245" s="4">
        <v>45727</v>
      </c>
      <c r="C245" s="3" t="s">
        <v>27</v>
      </c>
      <c r="D245" s="3" t="s">
        <v>17</v>
      </c>
      <c r="E245" s="5">
        <v>6426.17</v>
      </c>
      <c r="F245" s="5">
        <v>7041.12</v>
      </c>
      <c r="G245" s="3">
        <v>169372</v>
      </c>
      <c r="H245" s="3">
        <v>2478</v>
      </c>
      <c r="I245" s="3">
        <v>264</v>
      </c>
      <c r="J245" s="5">
        <v>7197.08</v>
      </c>
    </row>
    <row r="246" customHeight="1" spans="1:10">
      <c r="A246" s="3" t="s">
        <v>305</v>
      </c>
      <c r="B246" s="4">
        <v>45728</v>
      </c>
      <c r="C246" s="3" t="s">
        <v>25</v>
      </c>
      <c r="D246" s="3" t="s">
        <v>15</v>
      </c>
      <c r="E246" s="5">
        <v>5828.98</v>
      </c>
      <c r="F246" s="5">
        <v>5235.06</v>
      </c>
      <c r="G246" s="3">
        <v>165901</v>
      </c>
      <c r="H246" s="3">
        <v>3604</v>
      </c>
      <c r="I246" s="3">
        <v>431</v>
      </c>
      <c r="J246" s="5">
        <v>17251.98</v>
      </c>
    </row>
    <row r="247" customHeight="1" spans="1:10">
      <c r="A247" s="3" t="s">
        <v>306</v>
      </c>
      <c r="B247" s="4">
        <v>45728</v>
      </c>
      <c r="C247" s="3" t="s">
        <v>26</v>
      </c>
      <c r="D247" s="3" t="s">
        <v>15</v>
      </c>
      <c r="E247" s="5">
        <v>6969.11</v>
      </c>
      <c r="F247" s="5">
        <v>7119.19</v>
      </c>
      <c r="G247" s="3">
        <v>64146</v>
      </c>
      <c r="H247" s="3">
        <v>2927</v>
      </c>
      <c r="I247" s="3">
        <v>300</v>
      </c>
      <c r="J247" s="5">
        <v>13906.64</v>
      </c>
    </row>
    <row r="248" customHeight="1" spans="1:10">
      <c r="A248" s="3" t="s">
        <v>307</v>
      </c>
      <c r="B248" s="4">
        <v>45729</v>
      </c>
      <c r="C248" s="3" t="s">
        <v>26</v>
      </c>
      <c r="D248" s="3" t="s">
        <v>15</v>
      </c>
      <c r="E248" s="5">
        <v>5824.38</v>
      </c>
      <c r="F248" s="5">
        <v>4893.67</v>
      </c>
      <c r="G248" s="3">
        <v>168213</v>
      </c>
      <c r="H248" s="3">
        <v>2627</v>
      </c>
      <c r="I248" s="3">
        <v>160</v>
      </c>
      <c r="J248" s="5">
        <v>3338.16</v>
      </c>
    </row>
    <row r="249" customHeight="1" spans="1:10">
      <c r="A249" s="3" t="s">
        <v>308</v>
      </c>
      <c r="B249" s="4">
        <v>45730</v>
      </c>
      <c r="C249" s="3" t="s">
        <v>26</v>
      </c>
      <c r="D249" s="3" t="s">
        <v>15</v>
      </c>
      <c r="E249" s="5">
        <v>4635.25</v>
      </c>
      <c r="F249" s="5">
        <v>3766.73</v>
      </c>
      <c r="G249" s="3">
        <v>83109</v>
      </c>
      <c r="H249" s="3">
        <v>3984</v>
      </c>
      <c r="I249" s="3">
        <v>764</v>
      </c>
      <c r="J249" s="5">
        <v>15689.67</v>
      </c>
    </row>
    <row r="250" customHeight="1" spans="1:10">
      <c r="A250" s="3" t="s">
        <v>309</v>
      </c>
      <c r="B250" s="4">
        <v>45730</v>
      </c>
      <c r="C250" s="3" t="s">
        <v>25</v>
      </c>
      <c r="D250" s="3" t="s">
        <v>17</v>
      </c>
      <c r="E250" s="5">
        <v>5442.08</v>
      </c>
      <c r="F250" s="5">
        <v>5871.24</v>
      </c>
      <c r="G250" s="3">
        <v>155287</v>
      </c>
      <c r="H250" s="3">
        <v>6156</v>
      </c>
      <c r="I250" s="3">
        <v>885</v>
      </c>
      <c r="J250" s="5">
        <v>39752.95</v>
      </c>
    </row>
    <row r="251" customHeight="1" spans="1:10">
      <c r="A251" s="3" t="s">
        <v>310</v>
      </c>
      <c r="B251" s="4">
        <v>45731</v>
      </c>
      <c r="C251" s="3" t="s">
        <v>20</v>
      </c>
      <c r="D251" s="3" t="s">
        <v>18</v>
      </c>
      <c r="E251" s="5">
        <v>3170.21</v>
      </c>
      <c r="F251" s="5">
        <v>3150.05</v>
      </c>
      <c r="G251" s="3">
        <v>122735</v>
      </c>
      <c r="H251" s="3">
        <v>2941</v>
      </c>
      <c r="I251" s="3">
        <v>274</v>
      </c>
      <c r="J251" s="5">
        <v>6935.85</v>
      </c>
    </row>
    <row r="252" customHeight="1" spans="1:10">
      <c r="A252" s="3" t="s">
        <v>311</v>
      </c>
      <c r="B252" s="4">
        <v>45733</v>
      </c>
      <c r="C252" s="3" t="s">
        <v>24</v>
      </c>
      <c r="D252" s="3" t="s">
        <v>17</v>
      </c>
      <c r="E252" s="5">
        <v>5109.65</v>
      </c>
      <c r="F252" s="5">
        <v>5233.73</v>
      </c>
      <c r="G252" s="3">
        <v>179651</v>
      </c>
      <c r="H252" s="3">
        <v>4479</v>
      </c>
      <c r="I252" s="3">
        <v>887</v>
      </c>
      <c r="J252" s="5">
        <v>31117.39</v>
      </c>
    </row>
    <row r="253" customHeight="1" spans="1:10">
      <c r="A253" s="3" t="s">
        <v>312</v>
      </c>
      <c r="B253" s="4">
        <v>45733</v>
      </c>
      <c r="C253" s="3" t="s">
        <v>25</v>
      </c>
      <c r="D253" s="3" t="s">
        <v>16</v>
      </c>
      <c r="E253" s="5">
        <v>4782.48</v>
      </c>
      <c r="F253" s="5">
        <v>4803.77</v>
      </c>
      <c r="G253" s="3">
        <v>65167</v>
      </c>
      <c r="H253" s="3">
        <v>3118</v>
      </c>
      <c r="I253" s="3">
        <v>343</v>
      </c>
      <c r="J253" s="5">
        <v>14682.74</v>
      </c>
    </row>
    <row r="254" customHeight="1" spans="1:10">
      <c r="A254" s="3" t="s">
        <v>313</v>
      </c>
      <c r="B254" s="4">
        <v>45733</v>
      </c>
      <c r="C254" s="3" t="s">
        <v>26</v>
      </c>
      <c r="D254" s="3" t="s">
        <v>17</v>
      </c>
      <c r="E254" s="5">
        <v>8414.31</v>
      </c>
      <c r="F254" s="5">
        <v>7061.81</v>
      </c>
      <c r="G254" s="3">
        <v>72374</v>
      </c>
      <c r="H254" s="3">
        <v>1961</v>
      </c>
      <c r="I254" s="3">
        <v>102</v>
      </c>
      <c r="J254" s="5">
        <v>5007.65</v>
      </c>
    </row>
    <row r="255" customHeight="1" spans="1:10">
      <c r="A255" s="3" t="s">
        <v>314</v>
      </c>
      <c r="B255" s="4">
        <v>45734</v>
      </c>
      <c r="C255" s="3" t="s">
        <v>24</v>
      </c>
      <c r="D255" s="3" t="s">
        <v>18</v>
      </c>
      <c r="E255" s="5">
        <v>4696.87</v>
      </c>
      <c r="F255" s="5">
        <v>3919.31</v>
      </c>
      <c r="G255" s="3">
        <v>178747</v>
      </c>
      <c r="H255" s="3">
        <v>7649</v>
      </c>
      <c r="I255" s="3">
        <v>235</v>
      </c>
      <c r="J255" s="5">
        <v>9004.87</v>
      </c>
    </row>
    <row r="256" customHeight="1" spans="1:10">
      <c r="A256" s="3" t="s">
        <v>315</v>
      </c>
      <c r="B256" s="4">
        <v>45734</v>
      </c>
      <c r="C256" s="3" t="s">
        <v>26</v>
      </c>
      <c r="D256" s="3" t="s">
        <v>18</v>
      </c>
      <c r="E256" s="5">
        <v>4739.42</v>
      </c>
      <c r="F256" s="5">
        <v>4849.3</v>
      </c>
      <c r="G256" s="3">
        <v>109146</v>
      </c>
      <c r="H256" s="3">
        <v>3124</v>
      </c>
      <c r="I256" s="3">
        <v>400</v>
      </c>
      <c r="J256" s="5">
        <v>8402.39</v>
      </c>
    </row>
    <row r="257" customHeight="1" spans="1:10">
      <c r="A257" s="3" t="s">
        <v>316</v>
      </c>
      <c r="B257" s="4">
        <v>45734</v>
      </c>
      <c r="C257" s="3" t="s">
        <v>26</v>
      </c>
      <c r="D257" s="3" t="s">
        <v>16</v>
      </c>
      <c r="E257" s="5">
        <v>9302.93</v>
      </c>
      <c r="F257" s="5">
        <v>9209.25</v>
      </c>
      <c r="G257" s="3">
        <v>75522</v>
      </c>
      <c r="H257" s="3">
        <v>1938</v>
      </c>
      <c r="I257" s="3">
        <v>231</v>
      </c>
      <c r="J257" s="5">
        <v>6969.48</v>
      </c>
    </row>
    <row r="258" customHeight="1" spans="1:10">
      <c r="A258" s="3" t="s">
        <v>317</v>
      </c>
      <c r="B258" s="4">
        <v>45735</v>
      </c>
      <c r="C258" s="3" t="s">
        <v>27</v>
      </c>
      <c r="D258" s="3" t="s">
        <v>17</v>
      </c>
      <c r="E258" s="5">
        <v>9034.3</v>
      </c>
      <c r="F258" s="5">
        <v>9516.41</v>
      </c>
      <c r="G258" s="3">
        <v>103912</v>
      </c>
      <c r="H258" s="3">
        <v>1528</v>
      </c>
      <c r="I258" s="3">
        <v>148</v>
      </c>
      <c r="J258" s="5">
        <v>4376.81</v>
      </c>
    </row>
    <row r="259" customHeight="1" spans="1:10">
      <c r="A259" s="3" t="s">
        <v>318</v>
      </c>
      <c r="B259" s="4">
        <v>45735</v>
      </c>
      <c r="C259" s="3" t="s">
        <v>26</v>
      </c>
      <c r="D259" s="3" t="s">
        <v>18</v>
      </c>
      <c r="E259" s="5">
        <v>5622.29</v>
      </c>
      <c r="F259" s="5">
        <v>5553.46</v>
      </c>
      <c r="G259" s="3">
        <v>184625</v>
      </c>
      <c r="H259" s="3">
        <v>5858</v>
      </c>
      <c r="I259" s="3">
        <v>179</v>
      </c>
      <c r="J259" s="5">
        <v>6281.84</v>
      </c>
    </row>
    <row r="260" customHeight="1" spans="1:10">
      <c r="A260" s="3" t="s">
        <v>319</v>
      </c>
      <c r="B260" s="4">
        <v>45735</v>
      </c>
      <c r="C260" s="3" t="s">
        <v>25</v>
      </c>
      <c r="D260" s="3" t="s">
        <v>17</v>
      </c>
      <c r="E260" s="5">
        <v>6487.37</v>
      </c>
      <c r="F260" s="5">
        <v>6270.75</v>
      </c>
      <c r="G260" s="3">
        <v>145244</v>
      </c>
      <c r="H260" s="3">
        <v>7015</v>
      </c>
      <c r="I260" s="3">
        <v>623</v>
      </c>
      <c r="J260" s="5">
        <v>25901.88</v>
      </c>
    </row>
    <row r="261" customHeight="1" spans="1:10">
      <c r="A261" s="3" t="s">
        <v>320</v>
      </c>
      <c r="B261" s="4">
        <v>45735</v>
      </c>
      <c r="C261" s="3" t="s">
        <v>24</v>
      </c>
      <c r="D261" s="3" t="s">
        <v>18</v>
      </c>
      <c r="E261" s="5">
        <v>3137.97</v>
      </c>
      <c r="F261" s="5">
        <v>2608.38</v>
      </c>
      <c r="G261" s="3">
        <v>54030</v>
      </c>
      <c r="H261" s="3">
        <v>2101</v>
      </c>
      <c r="I261" s="3">
        <v>226</v>
      </c>
      <c r="J261" s="5">
        <v>9943.43</v>
      </c>
    </row>
    <row r="262" customHeight="1" spans="1:10">
      <c r="A262" s="3" t="s">
        <v>321</v>
      </c>
      <c r="B262" s="4">
        <v>45736</v>
      </c>
      <c r="C262" s="3" t="s">
        <v>27</v>
      </c>
      <c r="D262" s="3" t="s">
        <v>16</v>
      </c>
      <c r="E262" s="5">
        <v>6176.53</v>
      </c>
      <c r="F262" s="5">
        <v>5378.62</v>
      </c>
      <c r="G262" s="3">
        <v>194426</v>
      </c>
      <c r="H262" s="3">
        <v>2729</v>
      </c>
      <c r="I262" s="3">
        <v>147</v>
      </c>
      <c r="J262" s="5">
        <v>3264.12</v>
      </c>
    </row>
    <row r="263" customHeight="1" spans="1:10">
      <c r="A263" s="3" t="s">
        <v>322</v>
      </c>
      <c r="B263" s="4">
        <v>45736</v>
      </c>
      <c r="C263" s="3" t="s">
        <v>26</v>
      </c>
      <c r="D263" s="3" t="s">
        <v>16</v>
      </c>
      <c r="E263" s="5">
        <v>8457.09</v>
      </c>
      <c r="F263" s="5">
        <v>7653.98</v>
      </c>
      <c r="G263" s="3">
        <v>69189</v>
      </c>
      <c r="H263" s="3">
        <v>1438</v>
      </c>
      <c r="I263" s="3">
        <v>105</v>
      </c>
      <c r="J263" s="5">
        <v>2282.2</v>
      </c>
    </row>
    <row r="264" customHeight="1" spans="1:10">
      <c r="A264" s="3" t="s">
        <v>323</v>
      </c>
      <c r="B264" s="4">
        <v>45737</v>
      </c>
      <c r="C264" s="3" t="s">
        <v>20</v>
      </c>
      <c r="D264" s="3" t="s">
        <v>15</v>
      </c>
      <c r="E264" s="5">
        <v>7131.61</v>
      </c>
      <c r="F264" s="5">
        <v>6477.59</v>
      </c>
      <c r="G264" s="3">
        <v>171861</v>
      </c>
      <c r="H264" s="3">
        <v>2743</v>
      </c>
      <c r="I264" s="3">
        <v>78</v>
      </c>
      <c r="J264" s="5">
        <v>1774.3</v>
      </c>
    </row>
    <row r="265" customHeight="1" spans="1:10">
      <c r="A265" s="3" t="s">
        <v>324</v>
      </c>
      <c r="B265" s="4">
        <v>45738</v>
      </c>
      <c r="C265" s="3" t="s">
        <v>26</v>
      </c>
      <c r="D265" s="3" t="s">
        <v>15</v>
      </c>
      <c r="E265" s="5">
        <v>6173.02</v>
      </c>
      <c r="F265" s="5">
        <v>5909.54</v>
      </c>
      <c r="G265" s="3">
        <v>146175</v>
      </c>
      <c r="H265" s="3">
        <v>1946</v>
      </c>
      <c r="I265" s="3">
        <v>140</v>
      </c>
      <c r="J265" s="5">
        <v>4651.2</v>
      </c>
    </row>
    <row r="266" customHeight="1" spans="1:10">
      <c r="A266" s="3" t="s">
        <v>325</v>
      </c>
      <c r="B266" s="4">
        <v>45739</v>
      </c>
      <c r="C266" s="3" t="s">
        <v>27</v>
      </c>
      <c r="D266" s="3" t="s">
        <v>16</v>
      </c>
      <c r="E266" s="5">
        <v>7081.29</v>
      </c>
      <c r="F266" s="5">
        <v>6560.3</v>
      </c>
      <c r="G266" s="3">
        <v>163874</v>
      </c>
      <c r="H266" s="3">
        <v>4357</v>
      </c>
      <c r="I266" s="3">
        <v>137</v>
      </c>
      <c r="J266" s="5">
        <v>6408.88</v>
      </c>
    </row>
    <row r="267" customHeight="1" spans="1:10">
      <c r="A267" s="3" t="s">
        <v>326</v>
      </c>
      <c r="B267" s="4">
        <v>45739</v>
      </c>
      <c r="C267" s="3" t="s">
        <v>24</v>
      </c>
      <c r="D267" s="3" t="s">
        <v>16</v>
      </c>
      <c r="E267" s="5">
        <v>7392.91</v>
      </c>
      <c r="F267" s="5">
        <v>7210.26</v>
      </c>
      <c r="G267" s="3">
        <v>120570</v>
      </c>
      <c r="H267" s="3">
        <v>1495</v>
      </c>
      <c r="I267" s="3">
        <v>104</v>
      </c>
      <c r="J267" s="5">
        <v>4891.61</v>
      </c>
    </row>
    <row r="268" customHeight="1" spans="1:10">
      <c r="A268" s="3" t="s">
        <v>327</v>
      </c>
      <c r="B268" s="4">
        <v>45739</v>
      </c>
      <c r="C268" s="3" t="s">
        <v>24</v>
      </c>
      <c r="D268" s="3" t="s">
        <v>18</v>
      </c>
      <c r="E268" s="5">
        <v>4730.62</v>
      </c>
      <c r="F268" s="5">
        <v>5020.25</v>
      </c>
      <c r="G268" s="3">
        <v>116506</v>
      </c>
      <c r="H268" s="3">
        <v>4331</v>
      </c>
      <c r="I268" s="3">
        <v>122</v>
      </c>
      <c r="J268" s="5">
        <v>4069.82</v>
      </c>
    </row>
    <row r="269" customHeight="1" spans="1:10">
      <c r="A269" s="3" t="s">
        <v>328</v>
      </c>
      <c r="B269" s="4">
        <v>45739</v>
      </c>
      <c r="C269" s="3" t="s">
        <v>20</v>
      </c>
      <c r="D269" s="3" t="s">
        <v>17</v>
      </c>
      <c r="E269" s="5">
        <v>4145.59</v>
      </c>
      <c r="F269" s="5">
        <v>3520.77</v>
      </c>
      <c r="G269" s="3">
        <v>53472</v>
      </c>
      <c r="H269" s="3">
        <v>1779</v>
      </c>
      <c r="I269" s="3">
        <v>127</v>
      </c>
      <c r="J269" s="5">
        <v>5643.53</v>
      </c>
    </row>
    <row r="270" customHeight="1" spans="1:10">
      <c r="A270" s="3" t="s">
        <v>329</v>
      </c>
      <c r="B270" s="4">
        <v>45742</v>
      </c>
      <c r="C270" s="3" t="s">
        <v>25</v>
      </c>
      <c r="D270" s="3" t="s">
        <v>17</v>
      </c>
      <c r="E270" s="5">
        <v>5005.79</v>
      </c>
      <c r="F270" s="5">
        <v>4891.91</v>
      </c>
      <c r="G270" s="3">
        <v>58155</v>
      </c>
      <c r="H270" s="3">
        <v>2713</v>
      </c>
      <c r="I270" s="3">
        <v>76</v>
      </c>
      <c r="J270" s="5">
        <v>1589.54</v>
      </c>
    </row>
    <row r="271" customHeight="1" spans="1:10">
      <c r="A271" s="3" t="s">
        <v>330</v>
      </c>
      <c r="B271" s="4">
        <v>45742</v>
      </c>
      <c r="C271" s="3" t="s">
        <v>20</v>
      </c>
      <c r="D271" s="3" t="s">
        <v>15</v>
      </c>
      <c r="E271" s="5">
        <v>7428.35</v>
      </c>
      <c r="F271" s="5">
        <v>8019.71</v>
      </c>
      <c r="G271" s="3">
        <v>145695</v>
      </c>
      <c r="H271" s="3">
        <v>2785</v>
      </c>
      <c r="I271" s="3">
        <v>83</v>
      </c>
      <c r="J271" s="5">
        <v>1915.25</v>
      </c>
    </row>
    <row r="272" customHeight="1" spans="1:10">
      <c r="A272" s="3" t="s">
        <v>331</v>
      </c>
      <c r="B272" s="4">
        <v>45742</v>
      </c>
      <c r="C272" s="3" t="s">
        <v>26</v>
      </c>
      <c r="D272" s="3" t="s">
        <v>16</v>
      </c>
      <c r="E272" s="5">
        <v>7552.28</v>
      </c>
      <c r="F272" s="5">
        <v>6493.92</v>
      </c>
      <c r="G272" s="3">
        <v>187179</v>
      </c>
      <c r="H272" s="3">
        <v>9269</v>
      </c>
      <c r="I272" s="3">
        <v>1087</v>
      </c>
      <c r="J272" s="5">
        <v>43922.24</v>
      </c>
    </row>
    <row r="273" customHeight="1" spans="1:10">
      <c r="A273" s="3" t="s">
        <v>332</v>
      </c>
      <c r="B273" s="4">
        <v>45743</v>
      </c>
      <c r="C273" s="3" t="s">
        <v>25</v>
      </c>
      <c r="D273" s="3" t="s">
        <v>15</v>
      </c>
      <c r="E273" s="5">
        <v>6856</v>
      </c>
      <c r="F273" s="5">
        <v>5663.71</v>
      </c>
      <c r="G273" s="3">
        <v>89044</v>
      </c>
      <c r="H273" s="3">
        <v>2861</v>
      </c>
      <c r="I273" s="3">
        <v>262</v>
      </c>
      <c r="J273" s="5">
        <v>8450.44</v>
      </c>
    </row>
    <row r="274" customHeight="1" spans="1:10">
      <c r="A274" s="3" t="s">
        <v>333</v>
      </c>
      <c r="B274" s="4">
        <v>45743</v>
      </c>
      <c r="C274" s="3" t="s">
        <v>24</v>
      </c>
      <c r="D274" s="3" t="s">
        <v>15</v>
      </c>
      <c r="E274" s="5">
        <v>5976.49</v>
      </c>
      <c r="F274" s="5">
        <v>4821.48</v>
      </c>
      <c r="G274" s="3">
        <v>80643</v>
      </c>
      <c r="H274" s="3">
        <v>2915</v>
      </c>
      <c r="I274" s="3">
        <v>337</v>
      </c>
      <c r="J274" s="5">
        <v>9456.33</v>
      </c>
    </row>
    <row r="275" customHeight="1" spans="1:10">
      <c r="A275" s="3" t="s">
        <v>334</v>
      </c>
      <c r="B275" s="4">
        <v>45744</v>
      </c>
      <c r="C275" s="3" t="s">
        <v>27</v>
      </c>
      <c r="D275" s="3" t="s">
        <v>16</v>
      </c>
      <c r="E275" s="5">
        <v>7252.81</v>
      </c>
      <c r="F275" s="5">
        <v>6173.28</v>
      </c>
      <c r="G275" s="3">
        <v>195024</v>
      </c>
      <c r="H275" s="3">
        <v>9701</v>
      </c>
      <c r="I275" s="3">
        <v>801</v>
      </c>
      <c r="J275" s="5">
        <v>17583.19</v>
      </c>
    </row>
    <row r="276" customHeight="1" spans="1:10">
      <c r="A276" s="3" t="s">
        <v>335</v>
      </c>
      <c r="B276" s="4">
        <v>45744</v>
      </c>
      <c r="C276" s="3" t="s">
        <v>20</v>
      </c>
      <c r="D276" s="3" t="s">
        <v>16</v>
      </c>
      <c r="E276" s="5">
        <v>7798.96</v>
      </c>
      <c r="F276" s="5">
        <v>7245.95</v>
      </c>
      <c r="G276" s="3">
        <v>108436</v>
      </c>
      <c r="H276" s="3">
        <v>3545</v>
      </c>
      <c r="I276" s="3">
        <v>81</v>
      </c>
      <c r="J276" s="5">
        <v>2107.28</v>
      </c>
    </row>
    <row r="277" customHeight="1" spans="1:10">
      <c r="A277" s="3" t="s">
        <v>336</v>
      </c>
      <c r="B277" s="4">
        <v>45744</v>
      </c>
      <c r="C277" s="3" t="s">
        <v>24</v>
      </c>
      <c r="D277" s="3" t="s">
        <v>16</v>
      </c>
      <c r="E277" s="5">
        <v>4242.08</v>
      </c>
      <c r="F277" s="5">
        <v>4348.91</v>
      </c>
      <c r="G277" s="3">
        <v>199475</v>
      </c>
      <c r="H277" s="3">
        <v>6783</v>
      </c>
      <c r="I277" s="3">
        <v>258</v>
      </c>
      <c r="J277" s="5">
        <v>11404.9</v>
      </c>
    </row>
    <row r="278" customHeight="1" spans="1:10">
      <c r="A278" s="3" t="s">
        <v>337</v>
      </c>
      <c r="B278" s="4">
        <v>45744</v>
      </c>
      <c r="C278" s="3" t="s">
        <v>26</v>
      </c>
      <c r="D278" s="3" t="s">
        <v>17</v>
      </c>
      <c r="E278" s="5">
        <v>5492.68</v>
      </c>
      <c r="F278" s="5">
        <v>6019.73</v>
      </c>
      <c r="G278" s="3">
        <v>186208</v>
      </c>
      <c r="H278" s="3">
        <v>1504</v>
      </c>
      <c r="I278" s="3">
        <v>92</v>
      </c>
      <c r="J278" s="5">
        <v>3511.94</v>
      </c>
    </row>
    <row r="279" customHeight="1" spans="1:10">
      <c r="A279" s="3" t="s">
        <v>338</v>
      </c>
      <c r="B279" s="4">
        <v>45745</v>
      </c>
      <c r="C279" s="3" t="s">
        <v>25</v>
      </c>
      <c r="D279" s="3" t="s">
        <v>15</v>
      </c>
      <c r="E279" s="5">
        <v>9122.91</v>
      </c>
      <c r="F279" s="5">
        <v>8745.96</v>
      </c>
      <c r="G279" s="3">
        <v>195707</v>
      </c>
      <c r="H279" s="3">
        <v>8454</v>
      </c>
      <c r="I279" s="3">
        <v>371</v>
      </c>
      <c r="J279" s="5">
        <v>17871.82</v>
      </c>
    </row>
    <row r="280" customHeight="1" spans="1:10">
      <c r="A280" s="3" t="s">
        <v>339</v>
      </c>
      <c r="B280" s="4">
        <v>45745</v>
      </c>
      <c r="C280" s="3" t="s">
        <v>20</v>
      </c>
      <c r="D280" s="3" t="s">
        <v>18</v>
      </c>
      <c r="E280" s="5">
        <v>7369.04</v>
      </c>
      <c r="F280" s="5">
        <v>6800.32</v>
      </c>
      <c r="G280" s="3">
        <v>171377</v>
      </c>
      <c r="H280" s="3">
        <v>4129</v>
      </c>
      <c r="I280" s="3">
        <v>453</v>
      </c>
      <c r="J280" s="5">
        <v>16562.32</v>
      </c>
    </row>
    <row r="281" customHeight="1" spans="1:10">
      <c r="A281" s="3" t="s">
        <v>340</v>
      </c>
      <c r="B281" s="4">
        <v>45746</v>
      </c>
      <c r="C281" s="3" t="s">
        <v>24</v>
      </c>
      <c r="D281" s="3" t="s">
        <v>18</v>
      </c>
      <c r="E281" s="5">
        <v>3661.1</v>
      </c>
      <c r="F281" s="5">
        <v>3679.05</v>
      </c>
      <c r="G281" s="3">
        <v>163376</v>
      </c>
      <c r="H281" s="3">
        <v>7011</v>
      </c>
      <c r="I281" s="3">
        <v>514</v>
      </c>
      <c r="J281" s="5">
        <v>11377.73</v>
      </c>
    </row>
    <row r="282" customHeight="1" spans="1:10">
      <c r="A282" s="3" t="s">
        <v>341</v>
      </c>
      <c r="B282" s="4">
        <v>45746</v>
      </c>
      <c r="C282" s="3" t="s">
        <v>27</v>
      </c>
      <c r="D282" s="3" t="s">
        <v>16</v>
      </c>
      <c r="E282" s="5">
        <v>6023.62</v>
      </c>
      <c r="F282" s="5">
        <v>5345.17</v>
      </c>
      <c r="G282" s="3">
        <v>72336</v>
      </c>
      <c r="H282" s="3">
        <v>1340</v>
      </c>
      <c r="I282" s="3">
        <v>236</v>
      </c>
      <c r="J282" s="5">
        <v>9051.92</v>
      </c>
    </row>
    <row r="283" customHeight="1" spans="1:10">
      <c r="A283" s="3" t="s">
        <v>342</v>
      </c>
      <c r="B283" s="4">
        <v>45746</v>
      </c>
      <c r="C283" s="3" t="s">
        <v>26</v>
      </c>
      <c r="D283" s="3" t="s">
        <v>17</v>
      </c>
      <c r="E283" s="5">
        <v>7993.45</v>
      </c>
      <c r="F283" s="5">
        <v>8541.5</v>
      </c>
      <c r="G283" s="3">
        <v>191329</v>
      </c>
      <c r="H283" s="3">
        <v>5806</v>
      </c>
      <c r="I283" s="3">
        <v>454</v>
      </c>
      <c r="J283" s="5">
        <v>16049.05</v>
      </c>
    </row>
    <row r="284" customHeight="1" spans="1:10">
      <c r="A284" s="3" t="s">
        <v>343</v>
      </c>
      <c r="B284" s="4">
        <v>45747</v>
      </c>
      <c r="C284" s="3" t="s">
        <v>27</v>
      </c>
      <c r="D284" s="3" t="s">
        <v>17</v>
      </c>
      <c r="E284" s="5">
        <v>4835.85</v>
      </c>
      <c r="F284" s="5">
        <v>4731.99</v>
      </c>
      <c r="G284" s="3">
        <v>115212</v>
      </c>
      <c r="H284" s="3">
        <v>2331</v>
      </c>
      <c r="I284" s="3">
        <v>196</v>
      </c>
      <c r="J284" s="5">
        <v>4222.38</v>
      </c>
    </row>
    <row r="285" customHeight="1" spans="1:10">
      <c r="A285" s="3" t="s">
        <v>344</v>
      </c>
      <c r="B285" s="4">
        <v>45747</v>
      </c>
      <c r="C285" s="3" t="s">
        <v>27</v>
      </c>
      <c r="D285" s="3" t="s">
        <v>18</v>
      </c>
      <c r="E285" s="5">
        <v>4029.51</v>
      </c>
      <c r="F285" s="5">
        <v>4343.72</v>
      </c>
      <c r="G285" s="3">
        <v>85573</v>
      </c>
      <c r="H285" s="3">
        <v>1887</v>
      </c>
      <c r="I285" s="3">
        <v>171</v>
      </c>
      <c r="J285" s="5">
        <v>5944.56</v>
      </c>
    </row>
    <row r="286" customHeight="1" spans="1:10">
      <c r="A286" s="3" t="s">
        <v>345</v>
      </c>
      <c r="B286" s="4">
        <v>45747</v>
      </c>
      <c r="C286" s="3" t="s">
        <v>26</v>
      </c>
      <c r="D286" s="3" t="s">
        <v>15</v>
      </c>
      <c r="E286" s="5">
        <v>9783.72</v>
      </c>
      <c r="F286" s="5">
        <v>10420.99</v>
      </c>
      <c r="G286" s="3">
        <v>127993</v>
      </c>
      <c r="H286" s="3">
        <v>3954</v>
      </c>
      <c r="I286" s="3">
        <v>611</v>
      </c>
      <c r="J286" s="5">
        <v>29225.7</v>
      </c>
    </row>
    <row r="287" customHeight="1" spans="1:10">
      <c r="A287" s="3" t="s">
        <v>346</v>
      </c>
      <c r="B287" s="4">
        <v>45747</v>
      </c>
      <c r="C287" s="3" t="s">
        <v>26</v>
      </c>
      <c r="D287" s="3" t="s">
        <v>16</v>
      </c>
      <c r="E287" s="5">
        <v>5707.15</v>
      </c>
      <c r="F287" s="5">
        <v>6169.54</v>
      </c>
      <c r="G287" s="3">
        <v>121778</v>
      </c>
      <c r="H287" s="3">
        <v>2381</v>
      </c>
      <c r="I287" s="3">
        <v>316</v>
      </c>
      <c r="J287" s="5">
        <v>7623.7</v>
      </c>
    </row>
    <row r="288" customHeight="1" spans="1:10">
      <c r="A288" s="3" t="s">
        <v>347</v>
      </c>
      <c r="B288" s="4">
        <v>45748</v>
      </c>
      <c r="C288" s="3" t="s">
        <v>24</v>
      </c>
      <c r="D288" s="3" t="s">
        <v>17</v>
      </c>
      <c r="E288" s="5">
        <v>4172.38</v>
      </c>
      <c r="F288" s="5">
        <v>3468.79</v>
      </c>
      <c r="G288" s="3">
        <v>143614</v>
      </c>
      <c r="H288" s="3">
        <v>4002</v>
      </c>
      <c r="I288" s="3">
        <v>362</v>
      </c>
      <c r="J288" s="5">
        <v>14151.63</v>
      </c>
    </row>
    <row r="289" customHeight="1" spans="1:10">
      <c r="A289" s="3" t="s">
        <v>348</v>
      </c>
      <c r="B289" s="4">
        <v>45748</v>
      </c>
      <c r="C289" s="3" t="s">
        <v>27</v>
      </c>
      <c r="D289" s="3" t="s">
        <v>16</v>
      </c>
      <c r="E289" s="5">
        <v>4305.99</v>
      </c>
      <c r="F289" s="5">
        <v>4597.8</v>
      </c>
      <c r="G289" s="3">
        <v>74753</v>
      </c>
      <c r="H289" s="3">
        <v>1230</v>
      </c>
      <c r="I289" s="3">
        <v>234</v>
      </c>
      <c r="J289" s="5">
        <v>8466.18</v>
      </c>
    </row>
    <row r="290" customHeight="1" spans="1:10">
      <c r="A290" s="3" t="s">
        <v>349</v>
      </c>
      <c r="B290" s="4">
        <v>45748</v>
      </c>
      <c r="C290" s="3" t="s">
        <v>26</v>
      </c>
      <c r="D290" s="3" t="s">
        <v>16</v>
      </c>
      <c r="E290" s="5">
        <v>9104.87</v>
      </c>
      <c r="F290" s="5">
        <v>9829.94</v>
      </c>
      <c r="G290" s="3">
        <v>155035</v>
      </c>
      <c r="H290" s="3">
        <v>4402</v>
      </c>
      <c r="I290" s="3">
        <v>390</v>
      </c>
      <c r="J290" s="5">
        <v>14412.06</v>
      </c>
    </row>
    <row r="291" customHeight="1" spans="1:10">
      <c r="A291" s="3" t="s">
        <v>350</v>
      </c>
      <c r="B291" s="4">
        <v>45748</v>
      </c>
      <c r="C291" s="3" t="s">
        <v>26</v>
      </c>
      <c r="D291" s="3" t="s">
        <v>18</v>
      </c>
      <c r="E291" s="5">
        <v>9445.93</v>
      </c>
      <c r="F291" s="5">
        <v>9304.19</v>
      </c>
      <c r="G291" s="3">
        <v>70743</v>
      </c>
      <c r="H291" s="3">
        <v>1210</v>
      </c>
      <c r="I291" s="3">
        <v>52</v>
      </c>
      <c r="J291" s="5">
        <v>2282.6</v>
      </c>
    </row>
    <row r="292" customHeight="1" spans="1:10">
      <c r="A292" s="3" t="s">
        <v>351</v>
      </c>
      <c r="B292" s="4">
        <v>45749</v>
      </c>
      <c r="C292" s="3" t="s">
        <v>25</v>
      </c>
      <c r="D292" s="3" t="s">
        <v>15</v>
      </c>
      <c r="E292" s="5">
        <v>5356.23</v>
      </c>
      <c r="F292" s="5">
        <v>4500.97</v>
      </c>
      <c r="G292" s="3">
        <v>65992</v>
      </c>
      <c r="H292" s="3">
        <v>3184</v>
      </c>
      <c r="I292" s="3">
        <v>311</v>
      </c>
      <c r="J292" s="5">
        <v>6811.29</v>
      </c>
    </row>
    <row r="293" customHeight="1" spans="1:10">
      <c r="A293" s="3" t="s">
        <v>352</v>
      </c>
      <c r="B293" s="4">
        <v>45750</v>
      </c>
      <c r="C293" s="3" t="s">
        <v>24</v>
      </c>
      <c r="D293" s="3" t="s">
        <v>17</v>
      </c>
      <c r="E293" s="5">
        <v>7146.45</v>
      </c>
      <c r="F293" s="5">
        <v>7673.21</v>
      </c>
      <c r="G293" s="3">
        <v>96745</v>
      </c>
      <c r="H293" s="3">
        <v>2886</v>
      </c>
      <c r="I293" s="3">
        <v>402</v>
      </c>
      <c r="J293" s="5">
        <v>10580.59</v>
      </c>
    </row>
    <row r="294" customHeight="1" spans="1:10">
      <c r="A294" s="3" t="s">
        <v>353</v>
      </c>
      <c r="B294" s="4">
        <v>45751</v>
      </c>
      <c r="C294" s="3" t="s">
        <v>27</v>
      </c>
      <c r="D294" s="3" t="s">
        <v>17</v>
      </c>
      <c r="E294" s="5">
        <v>6599.64</v>
      </c>
      <c r="F294" s="5">
        <v>6452.63</v>
      </c>
      <c r="G294" s="3">
        <v>185980</v>
      </c>
      <c r="H294" s="3">
        <v>5168</v>
      </c>
      <c r="I294" s="3">
        <v>68</v>
      </c>
      <c r="J294" s="5">
        <v>1454.76</v>
      </c>
    </row>
    <row r="295" customHeight="1" spans="1:10">
      <c r="A295" s="3" t="s">
        <v>354</v>
      </c>
      <c r="B295" s="4">
        <v>45751</v>
      </c>
      <c r="C295" s="3" t="s">
        <v>20</v>
      </c>
      <c r="D295" s="3" t="s">
        <v>17</v>
      </c>
      <c r="E295" s="5">
        <v>4995.67</v>
      </c>
      <c r="F295" s="5">
        <v>4256.37</v>
      </c>
      <c r="G295" s="3">
        <v>198805</v>
      </c>
      <c r="H295" s="3">
        <v>7934</v>
      </c>
      <c r="I295" s="3">
        <v>818</v>
      </c>
      <c r="J295" s="5">
        <v>38366.62</v>
      </c>
    </row>
    <row r="296" customHeight="1" spans="1:10">
      <c r="A296" s="3" t="s">
        <v>355</v>
      </c>
      <c r="B296" s="4">
        <v>45751</v>
      </c>
      <c r="C296" s="3" t="s">
        <v>20</v>
      </c>
      <c r="D296" s="3" t="s">
        <v>16</v>
      </c>
      <c r="E296" s="5">
        <v>3406.59</v>
      </c>
      <c r="F296" s="5">
        <v>3610.48</v>
      </c>
      <c r="G296" s="3">
        <v>113908</v>
      </c>
      <c r="H296" s="3">
        <v>5345</v>
      </c>
      <c r="I296" s="3">
        <v>1004</v>
      </c>
      <c r="J296" s="5">
        <v>38185.58</v>
      </c>
    </row>
    <row r="297" customHeight="1" spans="1:10">
      <c r="A297" s="3" t="s">
        <v>356</v>
      </c>
      <c r="B297" s="4">
        <v>45752</v>
      </c>
      <c r="C297" s="3" t="s">
        <v>24</v>
      </c>
      <c r="D297" s="3" t="s">
        <v>18</v>
      </c>
      <c r="E297" s="5">
        <v>7882.3</v>
      </c>
      <c r="F297" s="5">
        <v>7914.16</v>
      </c>
      <c r="G297" s="3">
        <v>169951</v>
      </c>
      <c r="H297" s="3">
        <v>5839</v>
      </c>
      <c r="I297" s="3">
        <v>987</v>
      </c>
      <c r="J297" s="5">
        <v>38057.08</v>
      </c>
    </row>
    <row r="298" customHeight="1" spans="1:10">
      <c r="A298" s="3" t="s">
        <v>357</v>
      </c>
      <c r="B298" s="4">
        <v>45752</v>
      </c>
      <c r="C298" s="3" t="s">
        <v>26</v>
      </c>
      <c r="D298" s="3" t="s">
        <v>17</v>
      </c>
      <c r="E298" s="5">
        <v>9082.33</v>
      </c>
      <c r="F298" s="5">
        <v>8820.6</v>
      </c>
      <c r="G298" s="3">
        <v>103488</v>
      </c>
      <c r="H298" s="3">
        <v>2459</v>
      </c>
      <c r="I298" s="3">
        <v>416</v>
      </c>
      <c r="J298" s="5">
        <v>8699.23</v>
      </c>
    </row>
    <row r="299" customHeight="1" spans="1:10">
      <c r="A299" s="3" t="s">
        <v>358</v>
      </c>
      <c r="B299" s="4">
        <v>45752</v>
      </c>
      <c r="C299" s="3" t="s">
        <v>27</v>
      </c>
      <c r="D299" s="3" t="s">
        <v>17</v>
      </c>
      <c r="E299" s="5">
        <v>9102.9</v>
      </c>
      <c r="F299" s="5">
        <v>7362.19</v>
      </c>
      <c r="G299" s="3">
        <v>54766</v>
      </c>
      <c r="H299" s="3">
        <v>2723</v>
      </c>
      <c r="I299" s="3">
        <v>466</v>
      </c>
      <c r="J299" s="5">
        <v>20864.92</v>
      </c>
    </row>
    <row r="300" customHeight="1" spans="1:10">
      <c r="A300" s="3" t="s">
        <v>359</v>
      </c>
      <c r="B300" s="4">
        <v>45752</v>
      </c>
      <c r="C300" s="3" t="s">
        <v>27</v>
      </c>
      <c r="D300" s="3" t="s">
        <v>15</v>
      </c>
      <c r="E300" s="5">
        <v>9728.33</v>
      </c>
      <c r="F300" s="5">
        <v>10424.93</v>
      </c>
      <c r="G300" s="3">
        <v>165946</v>
      </c>
      <c r="H300" s="3">
        <v>4099</v>
      </c>
      <c r="I300" s="3">
        <v>151</v>
      </c>
      <c r="J300" s="5">
        <v>3906.93</v>
      </c>
    </row>
    <row r="301" customHeight="1" spans="1:10">
      <c r="A301" s="3" t="s">
        <v>360</v>
      </c>
      <c r="B301" s="4">
        <v>45752</v>
      </c>
      <c r="C301" s="3" t="s">
        <v>24</v>
      </c>
      <c r="D301" s="3" t="s">
        <v>18</v>
      </c>
      <c r="E301" s="5">
        <v>7871.82</v>
      </c>
      <c r="F301" s="5">
        <v>7263.22</v>
      </c>
      <c r="G301" s="3">
        <v>176077</v>
      </c>
      <c r="H301" s="3">
        <v>2054</v>
      </c>
      <c r="I301" s="3">
        <v>402</v>
      </c>
      <c r="J301" s="5">
        <v>10129.93</v>
      </c>
    </row>
    <row r="302" customHeight="1" spans="1:10">
      <c r="A302" s="3" t="s">
        <v>361</v>
      </c>
      <c r="B302" s="4">
        <v>45752</v>
      </c>
      <c r="C302" s="3" t="s">
        <v>25</v>
      </c>
      <c r="D302" s="3" t="s">
        <v>17</v>
      </c>
      <c r="E302" s="5">
        <v>8541.05</v>
      </c>
      <c r="F302" s="5">
        <v>8856.09</v>
      </c>
      <c r="G302" s="3">
        <v>198199</v>
      </c>
      <c r="H302" s="3">
        <v>5993</v>
      </c>
      <c r="I302" s="3">
        <v>1087</v>
      </c>
      <c r="J302" s="5">
        <v>24714.23</v>
      </c>
    </row>
    <row r="303" customHeight="1" spans="1:10">
      <c r="A303" s="3" t="s">
        <v>362</v>
      </c>
      <c r="B303" s="4">
        <v>45753</v>
      </c>
      <c r="C303" s="3" t="s">
        <v>20</v>
      </c>
      <c r="D303" s="3" t="s">
        <v>18</v>
      </c>
      <c r="E303" s="5">
        <v>8103.05</v>
      </c>
      <c r="F303" s="5">
        <v>8357.33</v>
      </c>
      <c r="G303" s="3">
        <v>187598</v>
      </c>
      <c r="H303" s="3">
        <v>7514</v>
      </c>
      <c r="I303" s="3">
        <v>1465</v>
      </c>
      <c r="J303" s="5">
        <v>32554.26</v>
      </c>
    </row>
    <row r="304" customHeight="1" spans="1:10">
      <c r="A304" s="3" t="s">
        <v>363</v>
      </c>
      <c r="B304" s="4">
        <v>45753</v>
      </c>
      <c r="C304" s="3" t="s">
        <v>27</v>
      </c>
      <c r="D304" s="3" t="s">
        <v>18</v>
      </c>
      <c r="E304" s="5">
        <v>4610.06</v>
      </c>
      <c r="F304" s="5">
        <v>3854.79</v>
      </c>
      <c r="G304" s="3">
        <v>154277</v>
      </c>
      <c r="H304" s="3">
        <v>3322</v>
      </c>
      <c r="I304" s="3">
        <v>278</v>
      </c>
      <c r="J304" s="5">
        <v>6201.79</v>
      </c>
    </row>
    <row r="305" customHeight="1" spans="1:10">
      <c r="A305" s="3" t="s">
        <v>364</v>
      </c>
      <c r="B305" s="4">
        <v>45754</v>
      </c>
      <c r="C305" s="3" t="s">
        <v>24</v>
      </c>
      <c r="D305" s="3" t="s">
        <v>15</v>
      </c>
      <c r="E305" s="5">
        <v>5938.09</v>
      </c>
      <c r="F305" s="5">
        <v>5887.96</v>
      </c>
      <c r="G305" s="3">
        <v>149688</v>
      </c>
      <c r="H305" s="3">
        <v>5146</v>
      </c>
      <c r="I305" s="3">
        <v>512</v>
      </c>
      <c r="J305" s="5">
        <v>16347.05</v>
      </c>
    </row>
    <row r="306" customHeight="1" spans="1:10">
      <c r="A306" s="3" t="s">
        <v>365</v>
      </c>
      <c r="B306" s="4">
        <v>45754</v>
      </c>
      <c r="C306" s="3" t="s">
        <v>25</v>
      </c>
      <c r="D306" s="3" t="s">
        <v>18</v>
      </c>
      <c r="E306" s="5">
        <v>3328.76</v>
      </c>
      <c r="F306" s="5">
        <v>2829.06</v>
      </c>
      <c r="G306" s="3">
        <v>54764</v>
      </c>
      <c r="H306" s="3">
        <v>1698</v>
      </c>
      <c r="I306" s="3">
        <v>278</v>
      </c>
      <c r="J306" s="5">
        <v>11715.2</v>
      </c>
    </row>
    <row r="307" customHeight="1" spans="1:10">
      <c r="A307" s="3" t="s">
        <v>366</v>
      </c>
      <c r="B307" s="4">
        <v>45754</v>
      </c>
      <c r="C307" s="3" t="s">
        <v>26</v>
      </c>
      <c r="D307" s="3" t="s">
        <v>18</v>
      </c>
      <c r="E307" s="5">
        <v>4212.41</v>
      </c>
      <c r="F307" s="5">
        <v>3918.2</v>
      </c>
      <c r="G307" s="3">
        <v>171690</v>
      </c>
      <c r="H307" s="3">
        <v>1892</v>
      </c>
      <c r="I307" s="3">
        <v>232</v>
      </c>
      <c r="J307" s="5">
        <v>7413.59</v>
      </c>
    </row>
    <row r="308" customHeight="1" spans="1:10">
      <c r="A308" s="3" t="s">
        <v>367</v>
      </c>
      <c r="B308" s="4">
        <v>45754</v>
      </c>
      <c r="C308" s="3" t="s">
        <v>25</v>
      </c>
      <c r="D308" s="3" t="s">
        <v>17</v>
      </c>
      <c r="E308" s="5">
        <v>9642.2</v>
      </c>
      <c r="F308" s="5">
        <v>10507.01</v>
      </c>
      <c r="G308" s="3">
        <v>54909</v>
      </c>
      <c r="H308" s="3">
        <v>2182</v>
      </c>
      <c r="I308" s="3">
        <v>153</v>
      </c>
      <c r="J308" s="5">
        <v>6770.54</v>
      </c>
    </row>
    <row r="309" customHeight="1" spans="1:10">
      <c r="A309" s="3" t="s">
        <v>368</v>
      </c>
      <c r="B309" s="4">
        <v>45754</v>
      </c>
      <c r="C309" s="3" t="s">
        <v>24</v>
      </c>
      <c r="D309" s="3" t="s">
        <v>17</v>
      </c>
      <c r="E309" s="5">
        <v>4469.34</v>
      </c>
      <c r="F309" s="5">
        <v>4779.58</v>
      </c>
      <c r="G309" s="3">
        <v>61798</v>
      </c>
      <c r="H309" s="3">
        <v>1170</v>
      </c>
      <c r="I309" s="3">
        <v>114</v>
      </c>
      <c r="J309" s="5">
        <v>2981.58</v>
      </c>
    </row>
    <row r="310" customHeight="1" spans="1:10">
      <c r="A310" s="3" t="s">
        <v>369</v>
      </c>
      <c r="B310" s="4">
        <v>45755</v>
      </c>
      <c r="C310" s="3" t="s">
        <v>25</v>
      </c>
      <c r="D310" s="3" t="s">
        <v>15</v>
      </c>
      <c r="E310" s="5">
        <v>4745.05</v>
      </c>
      <c r="F310" s="5">
        <v>4380.23</v>
      </c>
      <c r="G310" s="3">
        <v>114426</v>
      </c>
      <c r="H310" s="3">
        <v>4726</v>
      </c>
      <c r="I310" s="3">
        <v>77</v>
      </c>
      <c r="J310" s="5">
        <v>3285.32</v>
      </c>
    </row>
    <row r="311" customHeight="1" spans="1:10">
      <c r="A311" s="3" t="s">
        <v>370</v>
      </c>
      <c r="B311" s="4">
        <v>45755</v>
      </c>
      <c r="C311" s="3" t="s">
        <v>20</v>
      </c>
      <c r="D311" s="3" t="s">
        <v>17</v>
      </c>
      <c r="E311" s="5">
        <v>3076.97</v>
      </c>
      <c r="F311" s="5">
        <v>2587.93</v>
      </c>
      <c r="G311" s="3">
        <v>154581</v>
      </c>
      <c r="H311" s="3">
        <v>6093</v>
      </c>
      <c r="I311" s="3">
        <v>236</v>
      </c>
      <c r="J311" s="5">
        <v>11092.13</v>
      </c>
    </row>
    <row r="312" customHeight="1" spans="1:10">
      <c r="A312" s="3" t="s">
        <v>371</v>
      </c>
      <c r="B312" s="4">
        <v>45756</v>
      </c>
      <c r="C312" s="3" t="s">
        <v>26</v>
      </c>
      <c r="D312" s="3" t="s">
        <v>15</v>
      </c>
      <c r="E312" s="5">
        <v>8345.24</v>
      </c>
      <c r="F312" s="5">
        <v>7026.98</v>
      </c>
      <c r="G312" s="3">
        <v>93966</v>
      </c>
      <c r="H312" s="3">
        <v>2601</v>
      </c>
      <c r="I312" s="3">
        <v>324</v>
      </c>
      <c r="J312" s="5">
        <v>14921.51</v>
      </c>
    </row>
    <row r="313" customHeight="1" spans="1:10">
      <c r="A313" s="3" t="s">
        <v>372</v>
      </c>
      <c r="B313" s="4">
        <v>45756</v>
      </c>
      <c r="C313" s="3" t="s">
        <v>27</v>
      </c>
      <c r="D313" s="3" t="s">
        <v>15</v>
      </c>
      <c r="E313" s="5">
        <v>7676.6</v>
      </c>
      <c r="F313" s="5">
        <v>6613.35</v>
      </c>
      <c r="G313" s="3">
        <v>111235</v>
      </c>
      <c r="H313" s="3">
        <v>4808</v>
      </c>
      <c r="I313" s="3">
        <v>370</v>
      </c>
      <c r="J313" s="5">
        <v>10653.94</v>
      </c>
    </row>
    <row r="314" customHeight="1" spans="1:10">
      <c r="A314" s="3" t="s">
        <v>373</v>
      </c>
      <c r="B314" s="4">
        <v>45756</v>
      </c>
      <c r="C314" s="3" t="s">
        <v>20</v>
      </c>
      <c r="D314" s="3" t="s">
        <v>17</v>
      </c>
      <c r="E314" s="5">
        <v>3976.46</v>
      </c>
      <c r="F314" s="5">
        <v>3529.68</v>
      </c>
      <c r="G314" s="3">
        <v>64153</v>
      </c>
      <c r="H314" s="3">
        <v>2806</v>
      </c>
      <c r="I314" s="3">
        <v>283</v>
      </c>
      <c r="J314" s="5">
        <v>8770.41</v>
      </c>
    </row>
    <row r="315" customHeight="1" spans="1:10">
      <c r="A315" s="3" t="s">
        <v>374</v>
      </c>
      <c r="B315" s="4">
        <v>45757</v>
      </c>
      <c r="C315" s="3" t="s">
        <v>25</v>
      </c>
      <c r="D315" s="3" t="s">
        <v>17</v>
      </c>
      <c r="E315" s="5">
        <v>9209.6</v>
      </c>
      <c r="F315" s="5">
        <v>9522.38</v>
      </c>
      <c r="G315" s="3">
        <v>130681</v>
      </c>
      <c r="H315" s="3">
        <v>5935</v>
      </c>
      <c r="I315" s="3">
        <v>667</v>
      </c>
      <c r="J315" s="5">
        <v>26187.05</v>
      </c>
    </row>
    <row r="316" customHeight="1" spans="1:10">
      <c r="A316" s="3" t="s">
        <v>375</v>
      </c>
      <c r="B316" s="4">
        <v>45757</v>
      </c>
      <c r="C316" s="3" t="s">
        <v>20</v>
      </c>
      <c r="D316" s="3" t="s">
        <v>16</v>
      </c>
      <c r="E316" s="5">
        <v>5725.07</v>
      </c>
      <c r="F316" s="5">
        <v>5075.89</v>
      </c>
      <c r="G316" s="3">
        <v>85169</v>
      </c>
      <c r="H316" s="3">
        <v>1524</v>
      </c>
      <c r="I316" s="3">
        <v>66</v>
      </c>
      <c r="J316" s="5">
        <v>2024.23</v>
      </c>
    </row>
    <row r="317" customHeight="1" spans="1:10">
      <c r="A317" s="3" t="s">
        <v>376</v>
      </c>
      <c r="B317" s="4">
        <v>45757</v>
      </c>
      <c r="C317" s="3" t="s">
        <v>27</v>
      </c>
      <c r="D317" s="3" t="s">
        <v>17</v>
      </c>
      <c r="E317" s="5">
        <v>3655.72</v>
      </c>
      <c r="F317" s="5">
        <v>3327.86</v>
      </c>
      <c r="G317" s="3">
        <v>86473</v>
      </c>
      <c r="H317" s="3">
        <v>2750</v>
      </c>
      <c r="I317" s="3">
        <v>491</v>
      </c>
      <c r="J317" s="5">
        <v>13726.43</v>
      </c>
    </row>
    <row r="318" customHeight="1" spans="1:10">
      <c r="A318" s="3" t="s">
        <v>377</v>
      </c>
      <c r="B318" s="4">
        <v>45758</v>
      </c>
      <c r="C318" s="3" t="s">
        <v>25</v>
      </c>
      <c r="D318" s="3" t="s">
        <v>17</v>
      </c>
      <c r="E318" s="5">
        <v>4206.24</v>
      </c>
      <c r="F318" s="5">
        <v>3607.64</v>
      </c>
      <c r="G318" s="3">
        <v>171015</v>
      </c>
      <c r="H318" s="3">
        <v>7567</v>
      </c>
      <c r="I318" s="3">
        <v>1110</v>
      </c>
      <c r="J318" s="5">
        <v>23560.92</v>
      </c>
    </row>
    <row r="319" customHeight="1" spans="1:10">
      <c r="A319" s="3" t="s">
        <v>378</v>
      </c>
      <c r="B319" s="4">
        <v>45758</v>
      </c>
      <c r="C319" s="3" t="s">
        <v>24</v>
      </c>
      <c r="D319" s="3" t="s">
        <v>17</v>
      </c>
      <c r="E319" s="5">
        <v>5597.27</v>
      </c>
      <c r="F319" s="5">
        <v>6136.26</v>
      </c>
      <c r="G319" s="3">
        <v>117252</v>
      </c>
      <c r="H319" s="3">
        <v>4476</v>
      </c>
      <c r="I319" s="3">
        <v>461</v>
      </c>
      <c r="J319" s="5">
        <v>9774.71</v>
      </c>
    </row>
    <row r="320" customHeight="1" spans="1:10">
      <c r="A320" s="3" t="s">
        <v>379</v>
      </c>
      <c r="B320" s="4">
        <v>45758</v>
      </c>
      <c r="C320" s="3" t="s">
        <v>24</v>
      </c>
      <c r="D320" s="3" t="s">
        <v>17</v>
      </c>
      <c r="E320" s="5">
        <v>8269.02</v>
      </c>
      <c r="F320" s="5">
        <v>7008.67</v>
      </c>
      <c r="G320" s="3">
        <v>117094</v>
      </c>
      <c r="H320" s="3">
        <v>1370</v>
      </c>
      <c r="I320" s="3">
        <v>194</v>
      </c>
      <c r="J320" s="5">
        <v>9006.67</v>
      </c>
    </row>
    <row r="321" customHeight="1" spans="1:10">
      <c r="A321" s="3" t="s">
        <v>380</v>
      </c>
      <c r="B321" s="4">
        <v>45759</v>
      </c>
      <c r="C321" s="3" t="s">
        <v>24</v>
      </c>
      <c r="D321" s="3" t="s">
        <v>17</v>
      </c>
      <c r="E321" s="5">
        <v>3997.47</v>
      </c>
      <c r="F321" s="5">
        <v>3796.26</v>
      </c>
      <c r="G321" s="3">
        <v>55760</v>
      </c>
      <c r="H321" s="3">
        <v>2026</v>
      </c>
      <c r="I321" s="3">
        <v>179</v>
      </c>
      <c r="J321" s="5">
        <v>6899.5</v>
      </c>
    </row>
    <row r="322" customHeight="1" spans="1:10">
      <c r="A322" s="3" t="s">
        <v>381</v>
      </c>
      <c r="B322" s="4">
        <v>45759</v>
      </c>
      <c r="C322" s="3" t="s">
        <v>24</v>
      </c>
      <c r="D322" s="3" t="s">
        <v>18</v>
      </c>
      <c r="E322" s="5">
        <v>8722.1</v>
      </c>
      <c r="F322" s="5">
        <v>7872.09</v>
      </c>
      <c r="G322" s="3">
        <v>173144</v>
      </c>
      <c r="H322" s="3">
        <v>7537</v>
      </c>
      <c r="I322" s="3">
        <v>1161</v>
      </c>
      <c r="J322" s="5">
        <v>32255.72</v>
      </c>
    </row>
    <row r="323" customHeight="1" spans="1:10">
      <c r="A323" s="3" t="s">
        <v>382</v>
      </c>
      <c r="B323" s="4">
        <v>45759</v>
      </c>
      <c r="C323" s="3" t="s">
        <v>24</v>
      </c>
      <c r="D323" s="3" t="s">
        <v>15</v>
      </c>
      <c r="E323" s="5">
        <v>8285.96</v>
      </c>
      <c r="F323" s="5">
        <v>8170.73</v>
      </c>
      <c r="G323" s="3">
        <v>55771</v>
      </c>
      <c r="H323" s="3">
        <v>1773</v>
      </c>
      <c r="I323" s="3">
        <v>177</v>
      </c>
      <c r="J323" s="5">
        <v>7278.66</v>
      </c>
    </row>
    <row r="324" customHeight="1" spans="1:10">
      <c r="A324" s="3" t="s">
        <v>383</v>
      </c>
      <c r="B324" s="4">
        <v>45759</v>
      </c>
      <c r="C324" s="3" t="s">
        <v>27</v>
      </c>
      <c r="D324" s="3" t="s">
        <v>18</v>
      </c>
      <c r="E324" s="5">
        <v>4128.55</v>
      </c>
      <c r="F324" s="5">
        <v>4454.33</v>
      </c>
      <c r="G324" s="3">
        <v>114833</v>
      </c>
      <c r="H324" s="3">
        <v>5099</v>
      </c>
      <c r="I324" s="3">
        <v>70</v>
      </c>
      <c r="J324" s="5">
        <v>3097.05</v>
      </c>
    </row>
    <row r="325" customHeight="1" spans="1:10">
      <c r="A325" s="3" t="s">
        <v>384</v>
      </c>
      <c r="B325" s="4">
        <v>45760</v>
      </c>
      <c r="C325" s="3" t="s">
        <v>25</v>
      </c>
      <c r="D325" s="3" t="s">
        <v>18</v>
      </c>
      <c r="E325" s="5">
        <v>8033.32</v>
      </c>
      <c r="F325" s="5">
        <v>7142.72</v>
      </c>
      <c r="G325" s="3">
        <v>75206</v>
      </c>
      <c r="H325" s="3">
        <v>1081</v>
      </c>
      <c r="I325" s="3">
        <v>182</v>
      </c>
      <c r="J325" s="5">
        <v>6732.57</v>
      </c>
    </row>
    <row r="326" customHeight="1" spans="1:10">
      <c r="A326" s="3" t="s">
        <v>385</v>
      </c>
      <c r="B326" s="4">
        <v>45761</v>
      </c>
      <c r="C326" s="3" t="s">
        <v>26</v>
      </c>
      <c r="D326" s="3" t="s">
        <v>17</v>
      </c>
      <c r="E326" s="5">
        <v>4188.31</v>
      </c>
      <c r="F326" s="5">
        <v>4003.74</v>
      </c>
      <c r="G326" s="3">
        <v>63381</v>
      </c>
      <c r="H326" s="3">
        <v>1826</v>
      </c>
      <c r="I326" s="3">
        <v>231</v>
      </c>
      <c r="J326" s="5">
        <v>6955.43</v>
      </c>
    </row>
    <row r="327" customHeight="1" spans="1:10">
      <c r="A327" s="3" t="s">
        <v>386</v>
      </c>
      <c r="B327" s="4">
        <v>45762</v>
      </c>
      <c r="C327" s="3" t="s">
        <v>25</v>
      </c>
      <c r="D327" s="3" t="s">
        <v>17</v>
      </c>
      <c r="E327" s="5">
        <v>9446.11</v>
      </c>
      <c r="F327" s="5">
        <v>7729.97</v>
      </c>
      <c r="G327" s="3">
        <v>158340</v>
      </c>
      <c r="H327" s="3">
        <v>2273</v>
      </c>
      <c r="I327" s="3">
        <v>434</v>
      </c>
      <c r="J327" s="5">
        <v>12284.95</v>
      </c>
    </row>
    <row r="328" customHeight="1" spans="1:10">
      <c r="A328" s="3" t="s">
        <v>387</v>
      </c>
      <c r="B328" s="4">
        <v>45762</v>
      </c>
      <c r="C328" s="3" t="s">
        <v>25</v>
      </c>
      <c r="D328" s="3" t="s">
        <v>16</v>
      </c>
      <c r="E328" s="5">
        <v>7327.53</v>
      </c>
      <c r="F328" s="5">
        <v>6084.32</v>
      </c>
      <c r="G328" s="3">
        <v>70716</v>
      </c>
      <c r="H328" s="3">
        <v>2637</v>
      </c>
      <c r="I328" s="3">
        <v>111</v>
      </c>
      <c r="J328" s="5">
        <v>2500.08</v>
      </c>
    </row>
    <row r="329" customHeight="1" spans="1:10">
      <c r="A329" s="3" t="s">
        <v>388</v>
      </c>
      <c r="B329" s="4">
        <v>45762</v>
      </c>
      <c r="C329" s="3" t="s">
        <v>24</v>
      </c>
      <c r="D329" s="3" t="s">
        <v>18</v>
      </c>
      <c r="E329" s="5">
        <v>4818.63</v>
      </c>
      <c r="F329" s="5">
        <v>4771.42</v>
      </c>
      <c r="G329" s="3">
        <v>175888</v>
      </c>
      <c r="H329" s="3">
        <v>8565</v>
      </c>
      <c r="I329" s="3">
        <v>610</v>
      </c>
      <c r="J329" s="5">
        <v>22081.73</v>
      </c>
    </row>
    <row r="330" customHeight="1" spans="1:10">
      <c r="A330" s="3" t="s">
        <v>389</v>
      </c>
      <c r="B330" s="4">
        <v>45762</v>
      </c>
      <c r="C330" s="3" t="s">
        <v>25</v>
      </c>
      <c r="D330" s="3" t="s">
        <v>18</v>
      </c>
      <c r="E330" s="5">
        <v>6693.91</v>
      </c>
      <c r="F330" s="5">
        <v>7349.17</v>
      </c>
      <c r="G330" s="3">
        <v>86944</v>
      </c>
      <c r="H330" s="3">
        <v>1292</v>
      </c>
      <c r="I330" s="3">
        <v>250</v>
      </c>
      <c r="J330" s="5">
        <v>5553.47</v>
      </c>
    </row>
    <row r="331" customHeight="1" spans="1:10">
      <c r="A331" s="3" t="s">
        <v>390</v>
      </c>
      <c r="B331" s="4">
        <v>45762</v>
      </c>
      <c r="C331" s="3" t="s">
        <v>24</v>
      </c>
      <c r="D331" s="3" t="s">
        <v>16</v>
      </c>
      <c r="E331" s="5">
        <v>6960.12</v>
      </c>
      <c r="F331" s="5">
        <v>6125.66</v>
      </c>
      <c r="G331" s="3">
        <v>181245</v>
      </c>
      <c r="H331" s="3">
        <v>4787</v>
      </c>
      <c r="I331" s="3">
        <v>615</v>
      </c>
      <c r="J331" s="5">
        <v>28510.72</v>
      </c>
    </row>
    <row r="332" customHeight="1" spans="1:10">
      <c r="A332" s="3" t="s">
        <v>391</v>
      </c>
      <c r="B332" s="4">
        <v>45763</v>
      </c>
      <c r="C332" s="3" t="s">
        <v>27</v>
      </c>
      <c r="D332" s="3" t="s">
        <v>18</v>
      </c>
      <c r="E332" s="5">
        <v>4882.95</v>
      </c>
      <c r="F332" s="5">
        <v>5074.69</v>
      </c>
      <c r="G332" s="3">
        <v>76424</v>
      </c>
      <c r="H332" s="3">
        <v>1044</v>
      </c>
      <c r="I332" s="3">
        <v>91</v>
      </c>
      <c r="J332" s="5">
        <v>2667.29</v>
      </c>
    </row>
    <row r="333" customHeight="1" spans="1:10">
      <c r="A333" s="3" t="s">
        <v>392</v>
      </c>
      <c r="B333" s="4">
        <v>45763</v>
      </c>
      <c r="C333" s="3" t="s">
        <v>24</v>
      </c>
      <c r="D333" s="3" t="s">
        <v>18</v>
      </c>
      <c r="E333" s="5">
        <v>8971.07</v>
      </c>
      <c r="F333" s="5">
        <v>7969.31</v>
      </c>
      <c r="G333" s="3">
        <v>82264</v>
      </c>
      <c r="H333" s="3">
        <v>3537</v>
      </c>
      <c r="I333" s="3">
        <v>673</v>
      </c>
      <c r="J333" s="5">
        <v>21235.12</v>
      </c>
    </row>
    <row r="334" customHeight="1" spans="1:10">
      <c r="A334" s="3" t="s">
        <v>393</v>
      </c>
      <c r="B334" s="4">
        <v>45763</v>
      </c>
      <c r="C334" s="3" t="s">
        <v>20</v>
      </c>
      <c r="D334" s="3" t="s">
        <v>15</v>
      </c>
      <c r="E334" s="5">
        <v>7881.94</v>
      </c>
      <c r="F334" s="5">
        <v>7008.66</v>
      </c>
      <c r="G334" s="3">
        <v>74923</v>
      </c>
      <c r="H334" s="3">
        <v>3598</v>
      </c>
      <c r="I334" s="3">
        <v>369</v>
      </c>
      <c r="J334" s="5">
        <v>17613.07</v>
      </c>
    </row>
    <row r="335" customHeight="1" spans="1:10">
      <c r="A335" s="3" t="s">
        <v>394</v>
      </c>
      <c r="B335" s="4">
        <v>45763</v>
      </c>
      <c r="C335" s="3" t="s">
        <v>26</v>
      </c>
      <c r="D335" s="3" t="s">
        <v>15</v>
      </c>
      <c r="E335" s="5">
        <v>6575.23</v>
      </c>
      <c r="F335" s="5">
        <v>6083.56</v>
      </c>
      <c r="G335" s="3">
        <v>103534</v>
      </c>
      <c r="H335" s="3">
        <v>3406</v>
      </c>
      <c r="I335" s="3">
        <v>219</v>
      </c>
      <c r="J335" s="5">
        <v>5839.25</v>
      </c>
    </row>
    <row r="336" customHeight="1" spans="1:10">
      <c r="A336" s="3" t="s">
        <v>395</v>
      </c>
      <c r="B336" s="4">
        <v>45763</v>
      </c>
      <c r="C336" s="3" t="s">
        <v>26</v>
      </c>
      <c r="D336" s="3" t="s">
        <v>16</v>
      </c>
      <c r="E336" s="5">
        <v>7383.54</v>
      </c>
      <c r="F336" s="5">
        <v>6197.55</v>
      </c>
      <c r="G336" s="3">
        <v>93893</v>
      </c>
      <c r="H336" s="3">
        <v>3140</v>
      </c>
      <c r="I336" s="3">
        <v>208</v>
      </c>
      <c r="J336" s="5">
        <v>4362.96</v>
      </c>
    </row>
    <row r="337" customHeight="1" spans="1:10">
      <c r="A337" s="3" t="s">
        <v>396</v>
      </c>
      <c r="B337" s="4">
        <v>45763</v>
      </c>
      <c r="C337" s="3" t="s">
        <v>24</v>
      </c>
      <c r="D337" s="3" t="s">
        <v>15</v>
      </c>
      <c r="E337" s="5">
        <v>7167.7</v>
      </c>
      <c r="F337" s="5">
        <v>5878.4</v>
      </c>
      <c r="G337" s="3">
        <v>71769</v>
      </c>
      <c r="H337" s="3">
        <v>3290</v>
      </c>
      <c r="I337" s="3">
        <v>54</v>
      </c>
      <c r="J337" s="5">
        <v>2294.94</v>
      </c>
    </row>
    <row r="338" customHeight="1" spans="1:10">
      <c r="A338" s="3" t="s">
        <v>397</v>
      </c>
      <c r="B338" s="4">
        <v>45763</v>
      </c>
      <c r="C338" s="3" t="s">
        <v>25</v>
      </c>
      <c r="D338" s="3" t="s">
        <v>16</v>
      </c>
      <c r="E338" s="5">
        <v>9755.19</v>
      </c>
      <c r="F338" s="5">
        <v>8167.91</v>
      </c>
      <c r="G338" s="3">
        <v>78740</v>
      </c>
      <c r="H338" s="3">
        <v>2383</v>
      </c>
      <c r="I338" s="3">
        <v>340</v>
      </c>
      <c r="J338" s="5">
        <v>14254.85</v>
      </c>
    </row>
    <row r="339" customHeight="1" spans="1:10">
      <c r="A339" s="3" t="s">
        <v>398</v>
      </c>
      <c r="B339" s="4">
        <v>45764</v>
      </c>
      <c r="C339" s="3" t="s">
        <v>20</v>
      </c>
      <c r="D339" s="3" t="s">
        <v>17</v>
      </c>
      <c r="E339" s="5">
        <v>8434.89</v>
      </c>
      <c r="F339" s="5">
        <v>7610.3</v>
      </c>
      <c r="G339" s="3">
        <v>139183</v>
      </c>
      <c r="H339" s="3">
        <v>5327</v>
      </c>
      <c r="I339" s="3">
        <v>212</v>
      </c>
      <c r="J339" s="5">
        <v>10159.62</v>
      </c>
    </row>
    <row r="340" customHeight="1" spans="1:10">
      <c r="A340" s="3" t="s">
        <v>399</v>
      </c>
      <c r="B340" s="4">
        <v>45764</v>
      </c>
      <c r="C340" s="3" t="s">
        <v>25</v>
      </c>
      <c r="D340" s="3" t="s">
        <v>17</v>
      </c>
      <c r="E340" s="5">
        <v>4283.83</v>
      </c>
      <c r="F340" s="5">
        <v>3818.06</v>
      </c>
      <c r="G340" s="3">
        <v>127588</v>
      </c>
      <c r="H340" s="3">
        <v>5087</v>
      </c>
      <c r="I340" s="3">
        <v>842</v>
      </c>
      <c r="J340" s="5">
        <v>30095.35</v>
      </c>
    </row>
    <row r="341" customHeight="1" spans="1:10">
      <c r="A341" s="3" t="s">
        <v>400</v>
      </c>
      <c r="B341" s="4">
        <v>45765</v>
      </c>
      <c r="C341" s="3" t="s">
        <v>27</v>
      </c>
      <c r="D341" s="3" t="s">
        <v>18</v>
      </c>
      <c r="E341" s="5">
        <v>7293.88</v>
      </c>
      <c r="F341" s="5">
        <v>6200.6</v>
      </c>
      <c r="G341" s="3">
        <v>53430</v>
      </c>
      <c r="H341" s="3">
        <v>2126</v>
      </c>
      <c r="I341" s="3">
        <v>397</v>
      </c>
      <c r="J341" s="5">
        <v>19744.82</v>
      </c>
    </row>
    <row r="342" customHeight="1" spans="1:10">
      <c r="A342" s="3" t="s">
        <v>401</v>
      </c>
      <c r="B342" s="4">
        <v>45765</v>
      </c>
      <c r="C342" s="3" t="s">
        <v>24</v>
      </c>
      <c r="D342" s="3" t="s">
        <v>17</v>
      </c>
      <c r="E342" s="5">
        <v>6863.35</v>
      </c>
      <c r="F342" s="5">
        <v>6645.65</v>
      </c>
      <c r="G342" s="3">
        <v>130705</v>
      </c>
      <c r="H342" s="3">
        <v>4818</v>
      </c>
      <c r="I342" s="3">
        <v>159</v>
      </c>
      <c r="J342" s="5">
        <v>7361.64</v>
      </c>
    </row>
    <row r="343" customHeight="1" spans="1:10">
      <c r="A343" s="3" t="s">
        <v>402</v>
      </c>
      <c r="B343" s="4">
        <v>45765</v>
      </c>
      <c r="C343" s="3" t="s">
        <v>24</v>
      </c>
      <c r="D343" s="3" t="s">
        <v>18</v>
      </c>
      <c r="E343" s="5">
        <v>5419.87</v>
      </c>
      <c r="F343" s="5">
        <v>4631.17</v>
      </c>
      <c r="G343" s="3">
        <v>190925</v>
      </c>
      <c r="H343" s="3">
        <v>4618</v>
      </c>
      <c r="I343" s="3">
        <v>144</v>
      </c>
      <c r="J343" s="5">
        <v>6804.51</v>
      </c>
    </row>
    <row r="344" customHeight="1" spans="1:10">
      <c r="A344" s="3" t="s">
        <v>403</v>
      </c>
      <c r="B344" s="4">
        <v>45765</v>
      </c>
      <c r="C344" s="3" t="s">
        <v>26</v>
      </c>
      <c r="D344" s="3" t="s">
        <v>18</v>
      </c>
      <c r="E344" s="5">
        <v>6166.23</v>
      </c>
      <c r="F344" s="5">
        <v>6123.52</v>
      </c>
      <c r="G344" s="3">
        <v>136413</v>
      </c>
      <c r="H344" s="3">
        <v>3434</v>
      </c>
      <c r="I344" s="3">
        <v>635</v>
      </c>
      <c r="J344" s="5">
        <v>22727.97</v>
      </c>
    </row>
    <row r="345" customHeight="1" spans="1:10">
      <c r="A345" s="3" t="s">
        <v>404</v>
      </c>
      <c r="B345" s="4">
        <v>45766</v>
      </c>
      <c r="C345" s="3" t="s">
        <v>20</v>
      </c>
      <c r="D345" s="3" t="s">
        <v>16</v>
      </c>
      <c r="E345" s="5">
        <v>3394.63</v>
      </c>
      <c r="F345" s="5">
        <v>3596.33</v>
      </c>
      <c r="G345" s="3">
        <v>114949</v>
      </c>
      <c r="H345" s="3">
        <v>3456</v>
      </c>
      <c r="I345" s="3">
        <v>294</v>
      </c>
      <c r="J345" s="5">
        <v>13049.79</v>
      </c>
    </row>
    <row r="346" customHeight="1" spans="1:10">
      <c r="A346" s="3" t="s">
        <v>405</v>
      </c>
      <c r="B346" s="4">
        <v>45766</v>
      </c>
      <c r="C346" s="3" t="s">
        <v>25</v>
      </c>
      <c r="D346" s="3" t="s">
        <v>16</v>
      </c>
      <c r="E346" s="5">
        <v>9930.38</v>
      </c>
      <c r="F346" s="5">
        <v>8361.63</v>
      </c>
      <c r="G346" s="3">
        <v>155967</v>
      </c>
      <c r="H346" s="3">
        <v>1655</v>
      </c>
      <c r="I346" s="3">
        <v>74</v>
      </c>
      <c r="J346" s="5">
        <v>2630.69</v>
      </c>
    </row>
    <row r="347" customHeight="1" spans="1:10">
      <c r="A347" s="3" t="s">
        <v>406</v>
      </c>
      <c r="B347" s="4">
        <v>45766</v>
      </c>
      <c r="C347" s="3" t="s">
        <v>25</v>
      </c>
      <c r="D347" s="3" t="s">
        <v>16</v>
      </c>
      <c r="E347" s="5">
        <v>5232.83</v>
      </c>
      <c r="F347" s="5">
        <v>5512.59</v>
      </c>
      <c r="G347" s="3">
        <v>139628</v>
      </c>
      <c r="H347" s="3">
        <v>1738</v>
      </c>
      <c r="I347" s="3">
        <v>81</v>
      </c>
      <c r="J347" s="5">
        <v>1676.55</v>
      </c>
    </row>
    <row r="348" customHeight="1" spans="1:10">
      <c r="A348" s="3" t="s">
        <v>407</v>
      </c>
      <c r="B348" s="4">
        <v>45766</v>
      </c>
      <c r="C348" s="3" t="s">
        <v>27</v>
      </c>
      <c r="D348" s="3" t="s">
        <v>18</v>
      </c>
      <c r="E348" s="5">
        <v>7782.81</v>
      </c>
      <c r="F348" s="5">
        <v>6404</v>
      </c>
      <c r="G348" s="3">
        <v>115837</v>
      </c>
      <c r="H348" s="3">
        <v>5035</v>
      </c>
      <c r="I348" s="3">
        <v>407</v>
      </c>
      <c r="J348" s="5">
        <v>18533.24</v>
      </c>
    </row>
    <row r="349" customHeight="1" spans="1:10">
      <c r="A349" s="3" t="s">
        <v>408</v>
      </c>
      <c r="B349" s="4">
        <v>45766</v>
      </c>
      <c r="C349" s="3" t="s">
        <v>25</v>
      </c>
      <c r="D349" s="3" t="s">
        <v>17</v>
      </c>
      <c r="E349" s="5">
        <v>9908.21</v>
      </c>
      <c r="F349" s="5">
        <v>10222.04</v>
      </c>
      <c r="G349" s="3">
        <v>133918</v>
      </c>
      <c r="H349" s="3">
        <v>4771</v>
      </c>
      <c r="I349" s="3">
        <v>266</v>
      </c>
      <c r="J349" s="5">
        <v>6905.75</v>
      </c>
    </row>
    <row r="350" customHeight="1" spans="1:10">
      <c r="A350" s="3" t="s">
        <v>409</v>
      </c>
      <c r="B350" s="4">
        <v>45767</v>
      </c>
      <c r="C350" s="3" t="s">
        <v>25</v>
      </c>
      <c r="D350" s="3" t="s">
        <v>15</v>
      </c>
      <c r="E350" s="5">
        <v>7075.19</v>
      </c>
      <c r="F350" s="5">
        <v>6394.31</v>
      </c>
      <c r="G350" s="3">
        <v>193477</v>
      </c>
      <c r="H350" s="3">
        <v>8585</v>
      </c>
      <c r="I350" s="3">
        <v>591</v>
      </c>
      <c r="J350" s="5">
        <v>22828.83</v>
      </c>
    </row>
    <row r="351" customHeight="1" spans="1:10">
      <c r="A351" s="3" t="s">
        <v>410</v>
      </c>
      <c r="B351" s="4">
        <v>45767</v>
      </c>
      <c r="C351" s="3" t="s">
        <v>25</v>
      </c>
      <c r="D351" s="3" t="s">
        <v>18</v>
      </c>
      <c r="E351" s="5">
        <v>6679.83</v>
      </c>
      <c r="F351" s="5">
        <v>5687.9</v>
      </c>
      <c r="G351" s="3">
        <v>197509</v>
      </c>
      <c r="H351" s="3">
        <v>8448</v>
      </c>
      <c r="I351" s="3">
        <v>669</v>
      </c>
      <c r="J351" s="5">
        <v>18845.21</v>
      </c>
    </row>
    <row r="352" customHeight="1" spans="1:10">
      <c r="A352" s="3" t="s">
        <v>411</v>
      </c>
      <c r="B352" s="4">
        <v>45767</v>
      </c>
      <c r="C352" s="3" t="s">
        <v>20</v>
      </c>
      <c r="D352" s="3" t="s">
        <v>18</v>
      </c>
      <c r="E352" s="5">
        <v>8570.55</v>
      </c>
      <c r="F352" s="5">
        <v>9144.79</v>
      </c>
      <c r="G352" s="3">
        <v>103318</v>
      </c>
      <c r="H352" s="3">
        <v>2013</v>
      </c>
      <c r="I352" s="3">
        <v>80</v>
      </c>
      <c r="J352" s="5">
        <v>2411.19</v>
      </c>
    </row>
    <row r="353" customHeight="1" spans="1:10">
      <c r="A353" s="3" t="s">
        <v>412</v>
      </c>
      <c r="B353" s="4">
        <v>45767</v>
      </c>
      <c r="C353" s="3" t="s">
        <v>25</v>
      </c>
      <c r="D353" s="3" t="s">
        <v>18</v>
      </c>
      <c r="E353" s="5">
        <v>8377.91</v>
      </c>
      <c r="F353" s="5">
        <v>7752.33</v>
      </c>
      <c r="G353" s="3">
        <v>194762</v>
      </c>
      <c r="H353" s="3">
        <v>1009</v>
      </c>
      <c r="I353" s="3">
        <v>129</v>
      </c>
      <c r="J353" s="5">
        <v>4210.65</v>
      </c>
    </row>
    <row r="354" customHeight="1" spans="1:10">
      <c r="A354" s="3" t="s">
        <v>413</v>
      </c>
      <c r="B354" s="4">
        <v>45768</v>
      </c>
      <c r="C354" s="3" t="s">
        <v>26</v>
      </c>
      <c r="D354" s="3" t="s">
        <v>16</v>
      </c>
      <c r="E354" s="5">
        <v>7138.93</v>
      </c>
      <c r="F354" s="5">
        <v>6565.68</v>
      </c>
      <c r="G354" s="3">
        <v>52499</v>
      </c>
      <c r="H354" s="3">
        <v>1190</v>
      </c>
      <c r="I354" s="3">
        <v>108</v>
      </c>
      <c r="J354" s="5">
        <v>2337.43</v>
      </c>
    </row>
    <row r="355" customHeight="1" spans="1:10">
      <c r="A355" s="3" t="s">
        <v>414</v>
      </c>
      <c r="B355" s="4">
        <v>45768</v>
      </c>
      <c r="C355" s="3" t="s">
        <v>26</v>
      </c>
      <c r="D355" s="3" t="s">
        <v>18</v>
      </c>
      <c r="E355" s="5">
        <v>7320.01</v>
      </c>
      <c r="F355" s="5">
        <v>7408.09</v>
      </c>
      <c r="G355" s="3">
        <v>142900</v>
      </c>
      <c r="H355" s="3">
        <v>3707</v>
      </c>
      <c r="I355" s="3">
        <v>151</v>
      </c>
      <c r="J355" s="5">
        <v>3776.7</v>
      </c>
    </row>
    <row r="356" customHeight="1" spans="1:10">
      <c r="A356" s="3" t="s">
        <v>415</v>
      </c>
      <c r="B356" s="4">
        <v>45768</v>
      </c>
      <c r="C356" s="3" t="s">
        <v>20</v>
      </c>
      <c r="D356" s="3" t="s">
        <v>16</v>
      </c>
      <c r="E356" s="5">
        <v>9998.02</v>
      </c>
      <c r="F356" s="5">
        <v>10987.73</v>
      </c>
      <c r="G356" s="3">
        <v>128670</v>
      </c>
      <c r="H356" s="3">
        <v>4786</v>
      </c>
      <c r="I356" s="3">
        <v>820</v>
      </c>
      <c r="J356" s="5">
        <v>30063.62</v>
      </c>
    </row>
    <row r="357" customHeight="1" spans="1:10">
      <c r="A357" s="3" t="s">
        <v>416</v>
      </c>
      <c r="B357" s="4">
        <v>45768</v>
      </c>
      <c r="C357" s="3" t="s">
        <v>24</v>
      </c>
      <c r="D357" s="3" t="s">
        <v>16</v>
      </c>
      <c r="E357" s="5">
        <v>3837.16</v>
      </c>
      <c r="F357" s="5">
        <v>3890.78</v>
      </c>
      <c r="G357" s="3">
        <v>69783</v>
      </c>
      <c r="H357" s="3">
        <v>2886</v>
      </c>
      <c r="I357" s="3">
        <v>227</v>
      </c>
      <c r="J357" s="5">
        <v>9720.95</v>
      </c>
    </row>
    <row r="358" customHeight="1" spans="1:10">
      <c r="A358" s="3" t="s">
        <v>417</v>
      </c>
      <c r="B358" s="4">
        <v>45768</v>
      </c>
      <c r="C358" s="3" t="s">
        <v>24</v>
      </c>
      <c r="D358" s="3" t="s">
        <v>16</v>
      </c>
      <c r="E358" s="5">
        <v>7826.25</v>
      </c>
      <c r="F358" s="5">
        <v>8140.68</v>
      </c>
      <c r="G358" s="3">
        <v>180765</v>
      </c>
      <c r="H358" s="3">
        <v>5270</v>
      </c>
      <c r="I358" s="3">
        <v>513</v>
      </c>
      <c r="J358" s="5">
        <v>13340.31</v>
      </c>
    </row>
    <row r="359" customHeight="1" spans="1:10">
      <c r="A359" s="3" t="s">
        <v>418</v>
      </c>
      <c r="B359" s="4">
        <v>45769</v>
      </c>
      <c r="C359" s="3" t="s">
        <v>27</v>
      </c>
      <c r="D359" s="3" t="s">
        <v>18</v>
      </c>
      <c r="E359" s="5">
        <v>8643.41</v>
      </c>
      <c r="F359" s="5">
        <v>8854.98</v>
      </c>
      <c r="G359" s="3">
        <v>114026</v>
      </c>
      <c r="H359" s="3">
        <v>4773</v>
      </c>
      <c r="I359" s="3">
        <v>185</v>
      </c>
      <c r="J359" s="5">
        <v>4724.09</v>
      </c>
    </row>
    <row r="360" customHeight="1" spans="1:10">
      <c r="A360" s="3" t="s">
        <v>419</v>
      </c>
      <c r="B360" s="4">
        <v>45769</v>
      </c>
      <c r="C360" s="3" t="s">
        <v>25</v>
      </c>
      <c r="D360" s="3" t="s">
        <v>16</v>
      </c>
      <c r="E360" s="5">
        <v>7516.21</v>
      </c>
      <c r="F360" s="5">
        <v>6406.14</v>
      </c>
      <c r="G360" s="3">
        <v>146743</v>
      </c>
      <c r="H360" s="3">
        <v>3193</v>
      </c>
      <c r="I360" s="3">
        <v>385</v>
      </c>
      <c r="J360" s="5">
        <v>15680.33</v>
      </c>
    </row>
    <row r="361" customHeight="1" spans="1:10">
      <c r="A361" s="3" t="s">
        <v>420</v>
      </c>
      <c r="B361" s="4">
        <v>45769</v>
      </c>
      <c r="C361" s="3" t="s">
        <v>27</v>
      </c>
      <c r="D361" s="3" t="s">
        <v>16</v>
      </c>
      <c r="E361" s="5">
        <v>3128.73</v>
      </c>
      <c r="F361" s="5">
        <v>3361.16</v>
      </c>
      <c r="G361" s="3">
        <v>158254</v>
      </c>
      <c r="H361" s="3">
        <v>1254</v>
      </c>
      <c r="I361" s="3">
        <v>110</v>
      </c>
      <c r="J361" s="5">
        <v>2588.58</v>
      </c>
    </row>
    <row r="362" customHeight="1" spans="1:10">
      <c r="A362" s="3" t="s">
        <v>421</v>
      </c>
      <c r="B362" s="4">
        <v>45769</v>
      </c>
      <c r="C362" s="3" t="s">
        <v>26</v>
      </c>
      <c r="D362" s="3" t="s">
        <v>17</v>
      </c>
      <c r="E362" s="5">
        <v>6052.89</v>
      </c>
      <c r="F362" s="5">
        <v>5377.02</v>
      </c>
      <c r="G362" s="3">
        <v>118229</v>
      </c>
      <c r="H362" s="3">
        <v>1135</v>
      </c>
      <c r="I362" s="3">
        <v>149</v>
      </c>
      <c r="J362" s="5">
        <v>7219.59</v>
      </c>
    </row>
    <row r="363" customHeight="1" spans="1:10">
      <c r="A363" s="3" t="s">
        <v>422</v>
      </c>
      <c r="B363" s="4">
        <v>45769</v>
      </c>
      <c r="C363" s="3" t="s">
        <v>24</v>
      </c>
      <c r="D363" s="3" t="s">
        <v>16</v>
      </c>
      <c r="E363" s="5">
        <v>7656.38</v>
      </c>
      <c r="F363" s="5">
        <v>7326.54</v>
      </c>
      <c r="G363" s="3">
        <v>65231</v>
      </c>
      <c r="H363" s="3">
        <v>2231</v>
      </c>
      <c r="I363" s="3">
        <v>352</v>
      </c>
      <c r="J363" s="5">
        <v>10829.25</v>
      </c>
    </row>
    <row r="364" customHeight="1" spans="1:10">
      <c r="A364" s="3" t="s">
        <v>423</v>
      </c>
      <c r="B364" s="4">
        <v>45769</v>
      </c>
      <c r="C364" s="3" t="s">
        <v>27</v>
      </c>
      <c r="D364" s="3" t="s">
        <v>16</v>
      </c>
      <c r="E364" s="5">
        <v>8925.17</v>
      </c>
      <c r="F364" s="5">
        <v>7481.49</v>
      </c>
      <c r="G364" s="3">
        <v>121420</v>
      </c>
      <c r="H364" s="3">
        <v>2619</v>
      </c>
      <c r="I364" s="3">
        <v>104</v>
      </c>
      <c r="J364" s="5">
        <v>3319.54</v>
      </c>
    </row>
    <row r="365" customHeight="1" spans="1:10">
      <c r="A365" s="3" t="s">
        <v>424</v>
      </c>
      <c r="B365" s="4">
        <v>45770</v>
      </c>
      <c r="C365" s="3" t="s">
        <v>25</v>
      </c>
      <c r="D365" s="3" t="s">
        <v>15</v>
      </c>
      <c r="E365" s="5">
        <v>9933.54</v>
      </c>
      <c r="F365" s="5">
        <v>9176.46</v>
      </c>
      <c r="G365" s="3">
        <v>197123</v>
      </c>
      <c r="H365" s="3">
        <v>3693</v>
      </c>
      <c r="I365" s="3">
        <v>271</v>
      </c>
      <c r="J365" s="5">
        <v>8444.51</v>
      </c>
    </row>
    <row r="366" customHeight="1" spans="1:10">
      <c r="A366" s="3" t="s">
        <v>425</v>
      </c>
      <c r="B366" s="4">
        <v>45770</v>
      </c>
      <c r="C366" s="3" t="s">
        <v>25</v>
      </c>
      <c r="D366" s="3" t="s">
        <v>17</v>
      </c>
      <c r="E366" s="5">
        <v>7793.12</v>
      </c>
      <c r="F366" s="5">
        <v>6614.68</v>
      </c>
      <c r="G366" s="3">
        <v>110033</v>
      </c>
      <c r="H366" s="3">
        <v>3132</v>
      </c>
      <c r="I366" s="3">
        <v>85</v>
      </c>
      <c r="J366" s="5">
        <v>4022.86</v>
      </c>
    </row>
    <row r="367" customHeight="1" spans="1:10">
      <c r="A367" s="3" t="s">
        <v>426</v>
      </c>
      <c r="B367" s="4">
        <v>45770</v>
      </c>
      <c r="C367" s="3" t="s">
        <v>25</v>
      </c>
      <c r="D367" s="3" t="s">
        <v>18</v>
      </c>
      <c r="E367" s="5">
        <v>6728.32</v>
      </c>
      <c r="F367" s="5">
        <v>5872.08</v>
      </c>
      <c r="G367" s="3">
        <v>55825</v>
      </c>
      <c r="H367" s="3">
        <v>2436</v>
      </c>
      <c r="I367" s="3">
        <v>144</v>
      </c>
      <c r="J367" s="5">
        <v>4043.13</v>
      </c>
    </row>
    <row r="368" customHeight="1" spans="1:10">
      <c r="A368" s="3" t="s">
        <v>427</v>
      </c>
      <c r="B368" s="4">
        <v>45771</v>
      </c>
      <c r="C368" s="3" t="s">
        <v>26</v>
      </c>
      <c r="D368" s="3" t="s">
        <v>17</v>
      </c>
      <c r="E368" s="5">
        <v>8307.84</v>
      </c>
      <c r="F368" s="5">
        <v>6707.55</v>
      </c>
      <c r="G368" s="3">
        <v>128069</v>
      </c>
      <c r="H368" s="3">
        <v>2283</v>
      </c>
      <c r="I368" s="3">
        <v>270</v>
      </c>
      <c r="J368" s="5">
        <v>5579.2</v>
      </c>
    </row>
    <row r="369" customHeight="1" spans="1:10">
      <c r="A369" s="3" t="s">
        <v>428</v>
      </c>
      <c r="B369" s="4">
        <v>45771</v>
      </c>
      <c r="C369" s="3" t="s">
        <v>26</v>
      </c>
      <c r="D369" s="3" t="s">
        <v>15</v>
      </c>
      <c r="E369" s="5">
        <v>6244.46</v>
      </c>
      <c r="F369" s="5">
        <v>5707.04</v>
      </c>
      <c r="G369" s="3">
        <v>140338</v>
      </c>
      <c r="H369" s="3">
        <v>5296</v>
      </c>
      <c r="I369" s="3">
        <v>294</v>
      </c>
      <c r="J369" s="5">
        <v>13494.6</v>
      </c>
    </row>
    <row r="370" customHeight="1" spans="1:10">
      <c r="A370" s="3" t="s">
        <v>429</v>
      </c>
      <c r="B370" s="4">
        <v>45771</v>
      </c>
      <c r="C370" s="3" t="s">
        <v>24</v>
      </c>
      <c r="D370" s="3" t="s">
        <v>18</v>
      </c>
      <c r="E370" s="5">
        <v>6367.98</v>
      </c>
      <c r="F370" s="5">
        <v>6111.84</v>
      </c>
      <c r="G370" s="3">
        <v>61124</v>
      </c>
      <c r="H370" s="3">
        <v>2912</v>
      </c>
      <c r="I370" s="3">
        <v>312</v>
      </c>
      <c r="J370" s="5">
        <v>6725.07</v>
      </c>
    </row>
    <row r="371" customHeight="1" spans="1:10">
      <c r="A371" s="3" t="s">
        <v>430</v>
      </c>
      <c r="B371" s="4">
        <v>45771</v>
      </c>
      <c r="C371" s="3" t="s">
        <v>27</v>
      </c>
      <c r="D371" s="3" t="s">
        <v>15</v>
      </c>
      <c r="E371" s="5">
        <v>7943.7</v>
      </c>
      <c r="F371" s="5">
        <v>6548.82</v>
      </c>
      <c r="G371" s="3">
        <v>127949</v>
      </c>
      <c r="H371" s="3">
        <v>2073</v>
      </c>
      <c r="I371" s="3">
        <v>179</v>
      </c>
      <c r="J371" s="5">
        <v>4035.58</v>
      </c>
    </row>
    <row r="372" customHeight="1" spans="1:10">
      <c r="A372" s="3" t="s">
        <v>431</v>
      </c>
      <c r="B372" s="4">
        <v>45771</v>
      </c>
      <c r="C372" s="3" t="s">
        <v>24</v>
      </c>
      <c r="D372" s="3" t="s">
        <v>15</v>
      </c>
      <c r="E372" s="5">
        <v>9233.69</v>
      </c>
      <c r="F372" s="5">
        <v>9031.27</v>
      </c>
      <c r="G372" s="3">
        <v>52910</v>
      </c>
      <c r="H372" s="3">
        <v>1772</v>
      </c>
      <c r="I372" s="3">
        <v>184</v>
      </c>
      <c r="J372" s="5">
        <v>7428.64</v>
      </c>
    </row>
    <row r="373" customHeight="1" spans="1:10">
      <c r="A373" s="3" t="s">
        <v>432</v>
      </c>
      <c r="B373" s="4">
        <v>45772</v>
      </c>
      <c r="C373" s="3" t="s">
        <v>26</v>
      </c>
      <c r="D373" s="3" t="s">
        <v>15</v>
      </c>
      <c r="E373" s="5">
        <v>3116.11</v>
      </c>
      <c r="F373" s="5">
        <v>2971.61</v>
      </c>
      <c r="G373" s="3">
        <v>81389</v>
      </c>
      <c r="H373" s="3">
        <v>3140</v>
      </c>
      <c r="I373" s="3">
        <v>392</v>
      </c>
      <c r="J373" s="5">
        <v>10503.59</v>
      </c>
    </row>
    <row r="374" customHeight="1" spans="1:10">
      <c r="A374" s="3" t="s">
        <v>433</v>
      </c>
      <c r="B374" s="4">
        <v>45773</v>
      </c>
      <c r="C374" s="3" t="s">
        <v>20</v>
      </c>
      <c r="D374" s="3" t="s">
        <v>18</v>
      </c>
      <c r="E374" s="5">
        <v>4625.49</v>
      </c>
      <c r="F374" s="5">
        <v>4948.68</v>
      </c>
      <c r="G374" s="3">
        <v>87263</v>
      </c>
      <c r="H374" s="3">
        <v>3752</v>
      </c>
      <c r="I374" s="3">
        <v>526</v>
      </c>
      <c r="J374" s="5">
        <v>16577.8</v>
      </c>
    </row>
    <row r="375" customHeight="1" spans="1:10">
      <c r="A375" s="3" t="s">
        <v>434</v>
      </c>
      <c r="B375" s="4">
        <v>45773</v>
      </c>
      <c r="C375" s="3" t="s">
        <v>24</v>
      </c>
      <c r="D375" s="3" t="s">
        <v>18</v>
      </c>
      <c r="E375" s="5">
        <v>7932.77</v>
      </c>
      <c r="F375" s="5">
        <v>6826.59</v>
      </c>
      <c r="G375" s="3">
        <v>170452</v>
      </c>
      <c r="H375" s="3">
        <v>8283</v>
      </c>
      <c r="I375" s="3">
        <v>370</v>
      </c>
      <c r="J375" s="5">
        <v>14875.1</v>
      </c>
    </row>
    <row r="376" customHeight="1" spans="1:10">
      <c r="A376" s="3" t="s">
        <v>435</v>
      </c>
      <c r="B376" s="4">
        <v>45774</v>
      </c>
      <c r="C376" s="3" t="s">
        <v>25</v>
      </c>
      <c r="D376" s="3" t="s">
        <v>17</v>
      </c>
      <c r="E376" s="5">
        <v>4095.06</v>
      </c>
      <c r="F376" s="5">
        <v>3583.48</v>
      </c>
      <c r="G376" s="3">
        <v>134667</v>
      </c>
      <c r="H376" s="3">
        <v>4062</v>
      </c>
      <c r="I376" s="3">
        <v>556</v>
      </c>
      <c r="J376" s="5">
        <v>20281.1</v>
      </c>
    </row>
    <row r="377" customHeight="1" spans="1:10">
      <c r="A377" s="3" t="s">
        <v>436</v>
      </c>
      <c r="B377" s="4">
        <v>45774</v>
      </c>
      <c r="C377" s="3" t="s">
        <v>27</v>
      </c>
      <c r="D377" s="3" t="s">
        <v>16</v>
      </c>
      <c r="E377" s="5">
        <v>8581.07</v>
      </c>
      <c r="F377" s="5">
        <v>7250.79</v>
      </c>
      <c r="G377" s="3">
        <v>157129</v>
      </c>
      <c r="H377" s="3">
        <v>6144</v>
      </c>
      <c r="I377" s="3">
        <v>426</v>
      </c>
      <c r="J377" s="5">
        <v>11449.83</v>
      </c>
    </row>
    <row r="378" customHeight="1" spans="1:10">
      <c r="A378" s="3" t="s">
        <v>437</v>
      </c>
      <c r="B378" s="4">
        <v>45774</v>
      </c>
      <c r="C378" s="3" t="s">
        <v>26</v>
      </c>
      <c r="D378" s="3" t="s">
        <v>18</v>
      </c>
      <c r="E378" s="5">
        <v>3363.8</v>
      </c>
      <c r="F378" s="5">
        <v>3237.28</v>
      </c>
      <c r="G378" s="3">
        <v>179667</v>
      </c>
      <c r="H378" s="3">
        <v>3625</v>
      </c>
      <c r="I378" s="3">
        <v>357</v>
      </c>
      <c r="J378" s="5">
        <v>14734.04</v>
      </c>
    </row>
    <row r="379" customHeight="1" spans="1:10">
      <c r="A379" s="3" t="s">
        <v>438</v>
      </c>
      <c r="B379" s="4">
        <v>45774</v>
      </c>
      <c r="C379" s="3" t="s">
        <v>27</v>
      </c>
      <c r="D379" s="3" t="s">
        <v>16</v>
      </c>
      <c r="E379" s="5">
        <v>5265.75</v>
      </c>
      <c r="F379" s="5">
        <v>4884.67</v>
      </c>
      <c r="G379" s="3">
        <v>134522</v>
      </c>
      <c r="H379" s="3">
        <v>2228</v>
      </c>
      <c r="I379" s="3">
        <v>403</v>
      </c>
      <c r="J379" s="5">
        <v>14197.01</v>
      </c>
    </row>
    <row r="380" customHeight="1" spans="1:10">
      <c r="A380" s="3" t="s">
        <v>439</v>
      </c>
      <c r="B380" s="4">
        <v>45775</v>
      </c>
      <c r="C380" s="3" t="s">
        <v>20</v>
      </c>
      <c r="D380" s="3" t="s">
        <v>17</v>
      </c>
      <c r="E380" s="5">
        <v>7782.74</v>
      </c>
      <c r="F380" s="5">
        <v>7387.01</v>
      </c>
      <c r="G380" s="3">
        <v>150531</v>
      </c>
      <c r="H380" s="3">
        <v>3586</v>
      </c>
      <c r="I380" s="3">
        <v>622</v>
      </c>
      <c r="J380" s="5">
        <v>23969.03</v>
      </c>
    </row>
    <row r="381" customHeight="1" spans="1:10">
      <c r="A381" s="3" t="s">
        <v>440</v>
      </c>
      <c r="B381" s="4">
        <v>45775</v>
      </c>
      <c r="C381" s="3" t="s">
        <v>27</v>
      </c>
      <c r="D381" s="3" t="s">
        <v>16</v>
      </c>
      <c r="E381" s="5">
        <v>9684.06</v>
      </c>
      <c r="F381" s="5">
        <v>9891</v>
      </c>
      <c r="G381" s="3">
        <v>145812</v>
      </c>
      <c r="H381" s="3">
        <v>2588</v>
      </c>
      <c r="I381" s="3">
        <v>340</v>
      </c>
      <c r="J381" s="5">
        <v>12454.41</v>
      </c>
    </row>
    <row r="382" customHeight="1" spans="1:10">
      <c r="A382" s="3" t="s">
        <v>441</v>
      </c>
      <c r="B382" s="4">
        <v>45776</v>
      </c>
      <c r="C382" s="3" t="s">
        <v>27</v>
      </c>
      <c r="D382" s="3" t="s">
        <v>15</v>
      </c>
      <c r="E382" s="5">
        <v>8654.92</v>
      </c>
      <c r="F382" s="5">
        <v>8903.19</v>
      </c>
      <c r="G382" s="3">
        <v>52359</v>
      </c>
      <c r="H382" s="3">
        <v>1523</v>
      </c>
      <c r="I382" s="3">
        <v>135</v>
      </c>
      <c r="J382" s="5">
        <v>5931.15</v>
      </c>
    </row>
    <row r="383" customHeight="1" spans="1:10">
      <c r="A383" s="3" t="s">
        <v>442</v>
      </c>
      <c r="B383" s="4">
        <v>45776</v>
      </c>
      <c r="C383" s="3" t="s">
        <v>26</v>
      </c>
      <c r="D383" s="3" t="s">
        <v>18</v>
      </c>
      <c r="E383" s="5">
        <v>4681.02</v>
      </c>
      <c r="F383" s="5">
        <v>3851.35</v>
      </c>
      <c r="G383" s="3">
        <v>122395</v>
      </c>
      <c r="H383" s="3">
        <v>3701</v>
      </c>
      <c r="I383" s="3">
        <v>421</v>
      </c>
      <c r="J383" s="5">
        <v>10047.75</v>
      </c>
    </row>
    <row r="384" customHeight="1" spans="1:10">
      <c r="A384" s="3" t="s">
        <v>443</v>
      </c>
      <c r="B384" s="4">
        <v>45776</v>
      </c>
      <c r="C384" s="3" t="s">
        <v>25</v>
      </c>
      <c r="D384" s="3" t="s">
        <v>17</v>
      </c>
      <c r="E384" s="5">
        <v>4806.93</v>
      </c>
      <c r="F384" s="5">
        <v>4792.61</v>
      </c>
      <c r="G384" s="3">
        <v>127536</v>
      </c>
      <c r="H384" s="3">
        <v>1590</v>
      </c>
      <c r="I384" s="3">
        <v>273</v>
      </c>
      <c r="J384" s="5">
        <v>8123.31</v>
      </c>
    </row>
    <row r="385" customHeight="1" spans="1:10">
      <c r="A385" s="3" t="s">
        <v>444</v>
      </c>
      <c r="B385" s="4">
        <v>45776</v>
      </c>
      <c r="C385" s="3" t="s">
        <v>24</v>
      </c>
      <c r="D385" s="3" t="s">
        <v>18</v>
      </c>
      <c r="E385" s="5">
        <v>8591.48</v>
      </c>
      <c r="F385" s="5">
        <v>9445.3</v>
      </c>
      <c r="G385" s="3">
        <v>106946</v>
      </c>
      <c r="H385" s="3">
        <v>4278</v>
      </c>
      <c r="I385" s="3">
        <v>149</v>
      </c>
      <c r="J385" s="5">
        <v>4547.68</v>
      </c>
    </row>
    <row r="386" customHeight="1" spans="1:10">
      <c r="A386" s="3" t="s">
        <v>445</v>
      </c>
      <c r="B386" s="4">
        <v>45776</v>
      </c>
      <c r="C386" s="3" t="s">
        <v>25</v>
      </c>
      <c r="D386" s="3" t="s">
        <v>15</v>
      </c>
      <c r="E386" s="5">
        <v>5968.91</v>
      </c>
      <c r="F386" s="5">
        <v>6093.86</v>
      </c>
      <c r="G386" s="3">
        <v>196435</v>
      </c>
      <c r="H386" s="3">
        <v>5991</v>
      </c>
      <c r="I386" s="3">
        <v>805</v>
      </c>
      <c r="J386" s="5">
        <v>38664.96</v>
      </c>
    </row>
    <row r="387" customHeight="1" spans="1:10">
      <c r="A387" s="3" t="s">
        <v>446</v>
      </c>
      <c r="B387" s="4">
        <v>45777</v>
      </c>
      <c r="C387" s="3" t="s">
        <v>20</v>
      </c>
      <c r="D387" s="3" t="s">
        <v>16</v>
      </c>
      <c r="E387" s="5">
        <v>6122.04</v>
      </c>
      <c r="F387" s="5">
        <v>5237.65</v>
      </c>
      <c r="G387" s="3">
        <v>115362</v>
      </c>
      <c r="H387" s="3">
        <v>2448</v>
      </c>
      <c r="I387" s="3">
        <v>149</v>
      </c>
      <c r="J387" s="5">
        <v>5402.3</v>
      </c>
    </row>
    <row r="388" customHeight="1" spans="1:10">
      <c r="A388" s="3" t="s">
        <v>447</v>
      </c>
      <c r="B388" s="4">
        <v>45777</v>
      </c>
      <c r="C388" s="3" t="s">
        <v>24</v>
      </c>
      <c r="D388" s="3" t="s">
        <v>17</v>
      </c>
      <c r="E388" s="5">
        <v>8701.28</v>
      </c>
      <c r="F388" s="5">
        <v>7696.77</v>
      </c>
      <c r="G388" s="3">
        <v>62770</v>
      </c>
      <c r="H388" s="3">
        <v>1245</v>
      </c>
      <c r="I388" s="3">
        <v>249</v>
      </c>
      <c r="J388" s="5">
        <v>5862.69</v>
      </c>
    </row>
    <row r="389" customHeight="1" spans="1:10">
      <c r="A389" s="3" t="s">
        <v>448</v>
      </c>
      <c r="B389" s="4">
        <v>45777</v>
      </c>
      <c r="C389" s="3" t="s">
        <v>26</v>
      </c>
      <c r="D389" s="3" t="s">
        <v>17</v>
      </c>
      <c r="E389" s="5">
        <v>5106.74</v>
      </c>
      <c r="F389" s="5">
        <v>5170.33</v>
      </c>
      <c r="G389" s="3">
        <v>69967</v>
      </c>
      <c r="H389" s="3">
        <v>1422</v>
      </c>
      <c r="I389" s="3">
        <v>153</v>
      </c>
      <c r="J389" s="5">
        <v>3369.14</v>
      </c>
    </row>
    <row r="390" customHeight="1" spans="1:10">
      <c r="A390" s="3" t="s">
        <v>449</v>
      </c>
      <c r="B390" s="4">
        <v>45778</v>
      </c>
      <c r="C390" s="3" t="s">
        <v>25</v>
      </c>
      <c r="D390" s="3" t="s">
        <v>17</v>
      </c>
      <c r="E390" s="5">
        <v>3977.56</v>
      </c>
      <c r="F390" s="5">
        <v>3217.81</v>
      </c>
      <c r="G390" s="3">
        <v>183098</v>
      </c>
      <c r="H390" s="3">
        <v>3716</v>
      </c>
      <c r="I390" s="3">
        <v>153</v>
      </c>
      <c r="J390" s="5">
        <v>4473.4</v>
      </c>
    </row>
    <row r="391" customHeight="1" spans="1:10">
      <c r="A391" s="3" t="s">
        <v>450</v>
      </c>
      <c r="B391" s="4">
        <v>45778</v>
      </c>
      <c r="C391" s="3" t="s">
        <v>24</v>
      </c>
      <c r="D391" s="3" t="s">
        <v>16</v>
      </c>
      <c r="E391" s="5">
        <v>6876.98</v>
      </c>
      <c r="F391" s="5">
        <v>7501.35</v>
      </c>
      <c r="G391" s="3">
        <v>126890</v>
      </c>
      <c r="H391" s="3">
        <v>3074</v>
      </c>
      <c r="I391" s="3">
        <v>614</v>
      </c>
      <c r="J391" s="5">
        <v>21915.46</v>
      </c>
    </row>
    <row r="392" customHeight="1" spans="1:10">
      <c r="A392" s="3" t="s">
        <v>451</v>
      </c>
      <c r="B392" s="4">
        <v>45779</v>
      </c>
      <c r="C392" s="3" t="s">
        <v>26</v>
      </c>
      <c r="D392" s="3" t="s">
        <v>17</v>
      </c>
      <c r="E392" s="5">
        <v>5629.08</v>
      </c>
      <c r="F392" s="5">
        <v>4661.97</v>
      </c>
      <c r="G392" s="3">
        <v>163071</v>
      </c>
      <c r="H392" s="3">
        <v>2665</v>
      </c>
      <c r="I392" s="3">
        <v>80</v>
      </c>
      <c r="J392" s="5">
        <v>2987.87</v>
      </c>
    </row>
    <row r="393" customHeight="1" spans="1:10">
      <c r="A393" s="3" t="s">
        <v>452</v>
      </c>
      <c r="B393" s="4">
        <v>45779</v>
      </c>
      <c r="C393" s="3" t="s">
        <v>27</v>
      </c>
      <c r="D393" s="3" t="s">
        <v>17</v>
      </c>
      <c r="E393" s="5">
        <v>7224.14</v>
      </c>
      <c r="F393" s="5">
        <v>7227.49</v>
      </c>
      <c r="G393" s="3">
        <v>68836</v>
      </c>
      <c r="H393" s="3">
        <v>3169</v>
      </c>
      <c r="I393" s="3">
        <v>620</v>
      </c>
      <c r="J393" s="5">
        <v>23922.52</v>
      </c>
    </row>
    <row r="394" customHeight="1" spans="1:10">
      <c r="A394" s="3" t="s">
        <v>453</v>
      </c>
      <c r="B394" s="4">
        <v>45780</v>
      </c>
      <c r="C394" s="3" t="s">
        <v>27</v>
      </c>
      <c r="D394" s="3" t="s">
        <v>18</v>
      </c>
      <c r="E394" s="5">
        <v>7832.76</v>
      </c>
      <c r="F394" s="5">
        <v>6358.58</v>
      </c>
      <c r="G394" s="3">
        <v>100148</v>
      </c>
      <c r="H394" s="3">
        <v>1610</v>
      </c>
      <c r="I394" s="3">
        <v>112</v>
      </c>
      <c r="J394" s="5">
        <v>4926.02</v>
      </c>
    </row>
    <row r="395" customHeight="1" spans="1:10">
      <c r="A395" s="3" t="s">
        <v>454</v>
      </c>
      <c r="B395" s="4">
        <v>45780</v>
      </c>
      <c r="C395" s="3" t="s">
        <v>26</v>
      </c>
      <c r="D395" s="3" t="s">
        <v>17</v>
      </c>
      <c r="E395" s="5">
        <v>9357.86</v>
      </c>
      <c r="F395" s="5">
        <v>8158.82</v>
      </c>
      <c r="G395" s="3">
        <v>160805</v>
      </c>
      <c r="H395" s="3">
        <v>1964</v>
      </c>
      <c r="I395" s="3">
        <v>323</v>
      </c>
      <c r="J395" s="5">
        <v>7864.03</v>
      </c>
    </row>
    <row r="396" customHeight="1" spans="1:10">
      <c r="A396" s="3" t="s">
        <v>455</v>
      </c>
      <c r="B396" s="4">
        <v>45780</v>
      </c>
      <c r="C396" s="3" t="s">
        <v>24</v>
      </c>
      <c r="D396" s="3" t="s">
        <v>15</v>
      </c>
      <c r="E396" s="5">
        <v>5621.78</v>
      </c>
      <c r="F396" s="5">
        <v>6100.84</v>
      </c>
      <c r="G396" s="3">
        <v>120704</v>
      </c>
      <c r="H396" s="3">
        <v>5511</v>
      </c>
      <c r="I396" s="3">
        <v>1050</v>
      </c>
      <c r="J396" s="5">
        <v>44057.81</v>
      </c>
    </row>
    <row r="397" customHeight="1" spans="1:10">
      <c r="A397" s="3" t="s">
        <v>456</v>
      </c>
      <c r="B397" s="4">
        <v>45781</v>
      </c>
      <c r="C397" s="3" t="s">
        <v>26</v>
      </c>
      <c r="D397" s="3" t="s">
        <v>16</v>
      </c>
      <c r="E397" s="5">
        <v>5635.24</v>
      </c>
      <c r="F397" s="5">
        <v>5878.49</v>
      </c>
      <c r="G397" s="3">
        <v>136337</v>
      </c>
      <c r="H397" s="3">
        <v>3490</v>
      </c>
      <c r="I397" s="3">
        <v>132</v>
      </c>
      <c r="J397" s="5">
        <v>6549.61</v>
      </c>
    </row>
    <row r="398" customHeight="1" spans="1:10">
      <c r="A398" s="3" t="s">
        <v>457</v>
      </c>
      <c r="B398" s="4">
        <v>45782</v>
      </c>
      <c r="C398" s="3" t="s">
        <v>25</v>
      </c>
      <c r="D398" s="3" t="s">
        <v>17</v>
      </c>
      <c r="E398" s="5">
        <v>9537.13</v>
      </c>
      <c r="F398" s="5">
        <v>8534.27</v>
      </c>
      <c r="G398" s="3">
        <v>59862</v>
      </c>
      <c r="H398" s="3">
        <v>2333</v>
      </c>
      <c r="I398" s="3">
        <v>272</v>
      </c>
      <c r="J398" s="5">
        <v>9579.04</v>
      </c>
    </row>
    <row r="399" customHeight="1" spans="1:10">
      <c r="A399" s="3" t="s">
        <v>458</v>
      </c>
      <c r="B399" s="4">
        <v>45783</v>
      </c>
      <c r="C399" s="3" t="s">
        <v>27</v>
      </c>
      <c r="D399" s="3" t="s">
        <v>15</v>
      </c>
      <c r="E399" s="5">
        <v>7559.94</v>
      </c>
      <c r="F399" s="5">
        <v>7929.79</v>
      </c>
      <c r="G399" s="3">
        <v>98472</v>
      </c>
      <c r="H399" s="3">
        <v>4803</v>
      </c>
      <c r="I399" s="3">
        <v>235</v>
      </c>
      <c r="J399" s="5">
        <v>6155.27</v>
      </c>
    </row>
    <row r="400" customHeight="1" spans="1:10">
      <c r="A400" s="3" t="s">
        <v>459</v>
      </c>
      <c r="B400" s="4">
        <v>45783</v>
      </c>
      <c r="C400" s="3" t="s">
        <v>24</v>
      </c>
      <c r="D400" s="3" t="s">
        <v>17</v>
      </c>
      <c r="E400" s="5">
        <v>7405.79</v>
      </c>
      <c r="F400" s="5">
        <v>7470.4</v>
      </c>
      <c r="G400" s="3">
        <v>119094</v>
      </c>
      <c r="H400" s="3">
        <v>5829</v>
      </c>
      <c r="I400" s="3">
        <v>550</v>
      </c>
      <c r="J400" s="5">
        <v>18499.93</v>
      </c>
    </row>
    <row r="401" customHeight="1" spans="1:10">
      <c r="A401" s="3" t="s">
        <v>460</v>
      </c>
      <c r="B401" s="4">
        <v>45784</v>
      </c>
      <c r="C401" s="3" t="s">
        <v>24</v>
      </c>
      <c r="D401" s="3" t="s">
        <v>16</v>
      </c>
      <c r="E401" s="5">
        <v>5717.19</v>
      </c>
      <c r="F401" s="5">
        <v>5677.09</v>
      </c>
      <c r="G401" s="3">
        <v>149623</v>
      </c>
      <c r="H401" s="3">
        <v>2483</v>
      </c>
      <c r="I401" s="3">
        <v>463</v>
      </c>
      <c r="J401" s="5">
        <v>15625.13</v>
      </c>
    </row>
    <row r="402" customHeight="1" spans="1:10">
      <c r="A402" s="3" t="s">
        <v>461</v>
      </c>
      <c r="B402" s="4">
        <v>45784</v>
      </c>
      <c r="C402" s="3" t="s">
        <v>26</v>
      </c>
      <c r="D402" s="3" t="s">
        <v>16</v>
      </c>
      <c r="E402" s="5">
        <v>9797.41</v>
      </c>
      <c r="F402" s="5">
        <v>10613.34</v>
      </c>
      <c r="G402" s="3">
        <v>196954</v>
      </c>
      <c r="H402" s="3">
        <v>4588</v>
      </c>
      <c r="I402" s="3">
        <v>657</v>
      </c>
      <c r="J402" s="5">
        <v>22486.76</v>
      </c>
    </row>
    <row r="403" customHeight="1" spans="1:10">
      <c r="A403" s="3" t="s">
        <v>462</v>
      </c>
      <c r="B403" s="4">
        <v>45784</v>
      </c>
      <c r="C403" s="3" t="s">
        <v>25</v>
      </c>
      <c r="D403" s="3" t="s">
        <v>18</v>
      </c>
      <c r="E403" s="5">
        <v>5497.27</v>
      </c>
      <c r="F403" s="5">
        <v>4861.13</v>
      </c>
      <c r="G403" s="3">
        <v>156949</v>
      </c>
      <c r="H403" s="3">
        <v>1762</v>
      </c>
      <c r="I403" s="3">
        <v>304</v>
      </c>
      <c r="J403" s="5">
        <v>11029.39</v>
      </c>
    </row>
    <row r="404" customHeight="1" spans="1:10">
      <c r="A404" s="3" t="s">
        <v>463</v>
      </c>
      <c r="B404" s="4">
        <v>45784</v>
      </c>
      <c r="C404" s="3" t="s">
        <v>20</v>
      </c>
      <c r="D404" s="3" t="s">
        <v>15</v>
      </c>
      <c r="E404" s="5">
        <v>7917.39</v>
      </c>
      <c r="F404" s="5">
        <v>7187.78</v>
      </c>
      <c r="G404" s="3">
        <v>133842</v>
      </c>
      <c r="H404" s="3">
        <v>1394</v>
      </c>
      <c r="I404" s="3">
        <v>197</v>
      </c>
      <c r="J404" s="5">
        <v>5675.13</v>
      </c>
    </row>
    <row r="405" customHeight="1" spans="1:10">
      <c r="A405" s="3" t="s">
        <v>464</v>
      </c>
      <c r="B405" s="4">
        <v>45784</v>
      </c>
      <c r="C405" s="3" t="s">
        <v>20</v>
      </c>
      <c r="D405" s="3" t="s">
        <v>16</v>
      </c>
      <c r="E405" s="5">
        <v>8689.6</v>
      </c>
      <c r="F405" s="5">
        <v>9421.04</v>
      </c>
      <c r="G405" s="3">
        <v>162097</v>
      </c>
      <c r="H405" s="3">
        <v>7152</v>
      </c>
      <c r="I405" s="3">
        <v>1126</v>
      </c>
      <c r="J405" s="5">
        <v>55827.12</v>
      </c>
    </row>
    <row r="406" customHeight="1" spans="1:10">
      <c r="A406" s="3" t="s">
        <v>465</v>
      </c>
      <c r="B406" s="4">
        <v>45785</v>
      </c>
      <c r="C406" s="3" t="s">
        <v>27</v>
      </c>
      <c r="D406" s="3" t="s">
        <v>17</v>
      </c>
      <c r="E406" s="5">
        <v>3839.06</v>
      </c>
      <c r="F406" s="5">
        <v>3460.09</v>
      </c>
      <c r="G406" s="3">
        <v>157185</v>
      </c>
      <c r="H406" s="3">
        <v>1409</v>
      </c>
      <c r="I406" s="3">
        <v>97</v>
      </c>
      <c r="J406" s="5">
        <v>4683.87</v>
      </c>
    </row>
    <row r="407" customHeight="1" spans="1:10">
      <c r="A407" s="3" t="s">
        <v>466</v>
      </c>
      <c r="B407" s="4">
        <v>45785</v>
      </c>
      <c r="C407" s="3" t="s">
        <v>20</v>
      </c>
      <c r="D407" s="3" t="s">
        <v>18</v>
      </c>
      <c r="E407" s="5">
        <v>4565.17</v>
      </c>
      <c r="F407" s="5">
        <v>4971.32</v>
      </c>
      <c r="G407" s="3">
        <v>161384</v>
      </c>
      <c r="H407" s="3">
        <v>4375</v>
      </c>
      <c r="I407" s="3">
        <v>117</v>
      </c>
      <c r="J407" s="5">
        <v>2382.66</v>
      </c>
    </row>
    <row r="408" customHeight="1" spans="1:10">
      <c r="A408" s="3" t="s">
        <v>467</v>
      </c>
      <c r="B408" s="4">
        <v>45785</v>
      </c>
      <c r="C408" s="3" t="s">
        <v>26</v>
      </c>
      <c r="D408" s="3" t="s">
        <v>16</v>
      </c>
      <c r="E408" s="5">
        <v>4569.89</v>
      </c>
      <c r="F408" s="5">
        <v>4632.29</v>
      </c>
      <c r="G408" s="3">
        <v>72528</v>
      </c>
      <c r="H408" s="3">
        <v>1306</v>
      </c>
      <c r="I408" s="3">
        <v>139</v>
      </c>
      <c r="J408" s="5">
        <v>3769.33</v>
      </c>
    </row>
    <row r="409" customHeight="1" spans="1:10">
      <c r="A409" s="3" t="s">
        <v>468</v>
      </c>
      <c r="B409" s="4">
        <v>45785</v>
      </c>
      <c r="C409" s="3" t="s">
        <v>25</v>
      </c>
      <c r="D409" s="3" t="s">
        <v>18</v>
      </c>
      <c r="E409" s="5">
        <v>3906.6</v>
      </c>
      <c r="F409" s="5">
        <v>4166.87</v>
      </c>
      <c r="G409" s="3">
        <v>184724</v>
      </c>
      <c r="H409" s="3">
        <v>5850</v>
      </c>
      <c r="I409" s="3">
        <v>633</v>
      </c>
      <c r="J409" s="5">
        <v>30807.82</v>
      </c>
    </row>
    <row r="410" customHeight="1" spans="1:10">
      <c r="A410" s="3" t="s">
        <v>469</v>
      </c>
      <c r="B410" s="4">
        <v>45786</v>
      </c>
      <c r="C410" s="3" t="s">
        <v>20</v>
      </c>
      <c r="D410" s="3" t="s">
        <v>17</v>
      </c>
      <c r="E410" s="5">
        <v>9560.6</v>
      </c>
      <c r="F410" s="5">
        <v>9621.46</v>
      </c>
      <c r="G410" s="3">
        <v>165271</v>
      </c>
      <c r="H410" s="3">
        <v>3470</v>
      </c>
      <c r="I410" s="3">
        <v>651</v>
      </c>
      <c r="J410" s="5">
        <v>14344.86</v>
      </c>
    </row>
    <row r="411" customHeight="1" spans="1:10">
      <c r="A411" s="3" t="s">
        <v>470</v>
      </c>
      <c r="B411" s="4">
        <v>45786</v>
      </c>
      <c r="C411" s="3" t="s">
        <v>24</v>
      </c>
      <c r="D411" s="3" t="s">
        <v>16</v>
      </c>
      <c r="E411" s="5">
        <v>3920.97</v>
      </c>
      <c r="F411" s="5">
        <v>3978.79</v>
      </c>
      <c r="G411" s="3">
        <v>192117</v>
      </c>
      <c r="H411" s="3">
        <v>4361</v>
      </c>
      <c r="I411" s="3">
        <v>98</v>
      </c>
      <c r="J411" s="5">
        <v>4632.56</v>
      </c>
    </row>
    <row r="412" customHeight="1" spans="1:10">
      <c r="A412" s="3" t="s">
        <v>471</v>
      </c>
      <c r="B412" s="4">
        <v>45787</v>
      </c>
      <c r="C412" s="3" t="s">
        <v>20</v>
      </c>
      <c r="D412" s="3" t="s">
        <v>16</v>
      </c>
      <c r="E412" s="5">
        <v>5300.65</v>
      </c>
      <c r="F412" s="5">
        <v>5309.96</v>
      </c>
      <c r="G412" s="3">
        <v>58780</v>
      </c>
      <c r="H412" s="3">
        <v>1712</v>
      </c>
      <c r="I412" s="3">
        <v>92</v>
      </c>
      <c r="J412" s="5">
        <v>3916.55</v>
      </c>
    </row>
    <row r="413" customHeight="1" spans="1:10">
      <c r="A413" s="3" t="s">
        <v>472</v>
      </c>
      <c r="B413" s="4">
        <v>45787</v>
      </c>
      <c r="C413" s="3" t="s">
        <v>24</v>
      </c>
      <c r="D413" s="3" t="s">
        <v>15</v>
      </c>
      <c r="E413" s="5">
        <v>6466.03</v>
      </c>
      <c r="F413" s="5">
        <v>6105.07</v>
      </c>
      <c r="G413" s="3">
        <v>186219</v>
      </c>
      <c r="H413" s="3">
        <v>6823</v>
      </c>
      <c r="I413" s="3">
        <v>526</v>
      </c>
      <c r="J413" s="5">
        <v>19868.19</v>
      </c>
    </row>
    <row r="414" customHeight="1" spans="1:10">
      <c r="A414" s="3" t="s">
        <v>473</v>
      </c>
      <c r="B414" s="4">
        <v>45787</v>
      </c>
      <c r="C414" s="3" t="s">
        <v>25</v>
      </c>
      <c r="D414" s="3" t="s">
        <v>16</v>
      </c>
      <c r="E414" s="5">
        <v>6460.94</v>
      </c>
      <c r="F414" s="5">
        <v>5280.32</v>
      </c>
      <c r="G414" s="3">
        <v>103994</v>
      </c>
      <c r="H414" s="3">
        <v>4644</v>
      </c>
      <c r="I414" s="3">
        <v>871</v>
      </c>
      <c r="J414" s="5">
        <v>31779.19</v>
      </c>
    </row>
    <row r="415" customHeight="1" spans="1:10">
      <c r="A415" s="3" t="s">
        <v>474</v>
      </c>
      <c r="B415" s="4">
        <v>45788</v>
      </c>
      <c r="C415" s="3" t="s">
        <v>25</v>
      </c>
      <c r="D415" s="3" t="s">
        <v>15</v>
      </c>
      <c r="E415" s="5">
        <v>7939.03</v>
      </c>
      <c r="F415" s="5">
        <v>8554.9</v>
      </c>
      <c r="G415" s="3">
        <v>68639</v>
      </c>
      <c r="H415" s="3">
        <v>3348</v>
      </c>
      <c r="I415" s="3">
        <v>275</v>
      </c>
      <c r="J415" s="5">
        <v>6989.75</v>
      </c>
    </row>
    <row r="416" customHeight="1" spans="1:10">
      <c r="A416" s="3" t="s">
        <v>475</v>
      </c>
      <c r="B416" s="4">
        <v>45789</v>
      </c>
      <c r="C416" s="3" t="s">
        <v>20</v>
      </c>
      <c r="D416" s="3" t="s">
        <v>15</v>
      </c>
      <c r="E416" s="5">
        <v>4553.81</v>
      </c>
      <c r="F416" s="5">
        <v>3958.73</v>
      </c>
      <c r="G416" s="3">
        <v>191829</v>
      </c>
      <c r="H416" s="3">
        <v>3686</v>
      </c>
      <c r="I416" s="3">
        <v>217</v>
      </c>
      <c r="J416" s="5">
        <v>8714.02</v>
      </c>
    </row>
    <row r="417" customHeight="1" spans="1:10">
      <c r="A417" s="3" t="s">
        <v>476</v>
      </c>
      <c r="B417" s="4">
        <v>45789</v>
      </c>
      <c r="C417" s="3" t="s">
        <v>26</v>
      </c>
      <c r="D417" s="3" t="s">
        <v>18</v>
      </c>
      <c r="E417" s="5">
        <v>7906.78</v>
      </c>
      <c r="F417" s="5">
        <v>6498.02</v>
      </c>
      <c r="G417" s="3">
        <v>81757</v>
      </c>
      <c r="H417" s="3">
        <v>1390</v>
      </c>
      <c r="I417" s="3">
        <v>160</v>
      </c>
      <c r="J417" s="5">
        <v>7144.93</v>
      </c>
    </row>
    <row r="418" customHeight="1" spans="1:10">
      <c r="A418" s="3" t="s">
        <v>477</v>
      </c>
      <c r="B418" s="4">
        <v>45789</v>
      </c>
      <c r="C418" s="3" t="s">
        <v>26</v>
      </c>
      <c r="D418" s="3" t="s">
        <v>16</v>
      </c>
      <c r="E418" s="5">
        <v>4455.2</v>
      </c>
      <c r="F418" s="5">
        <v>3599.62</v>
      </c>
      <c r="G418" s="3">
        <v>191906</v>
      </c>
      <c r="H418" s="3">
        <v>3380</v>
      </c>
      <c r="I418" s="3">
        <v>512</v>
      </c>
      <c r="J418" s="5">
        <v>13026.85</v>
      </c>
    </row>
    <row r="419" customHeight="1" spans="1:10">
      <c r="A419" s="3" t="s">
        <v>478</v>
      </c>
      <c r="B419" s="4">
        <v>45790</v>
      </c>
      <c r="C419" s="3" t="s">
        <v>27</v>
      </c>
      <c r="D419" s="3" t="s">
        <v>16</v>
      </c>
      <c r="E419" s="5">
        <v>3975.49</v>
      </c>
      <c r="F419" s="5">
        <v>4176.17</v>
      </c>
      <c r="G419" s="3">
        <v>125145</v>
      </c>
      <c r="H419" s="3">
        <v>1135</v>
      </c>
      <c r="I419" s="3">
        <v>91</v>
      </c>
      <c r="J419" s="5">
        <v>4507.42</v>
      </c>
    </row>
    <row r="420" customHeight="1" spans="1:10">
      <c r="A420" s="3" t="s">
        <v>479</v>
      </c>
      <c r="B420" s="4">
        <v>45790</v>
      </c>
      <c r="C420" s="3" t="s">
        <v>20</v>
      </c>
      <c r="D420" s="3" t="s">
        <v>15</v>
      </c>
      <c r="E420" s="5">
        <v>6280.85</v>
      </c>
      <c r="F420" s="5">
        <v>5806.31</v>
      </c>
      <c r="G420" s="3">
        <v>69711</v>
      </c>
      <c r="H420" s="3">
        <v>1173</v>
      </c>
      <c r="I420" s="3">
        <v>209</v>
      </c>
      <c r="J420" s="5">
        <v>5894.26</v>
      </c>
    </row>
    <row r="421" customHeight="1" spans="1:10">
      <c r="A421" s="3" t="s">
        <v>480</v>
      </c>
      <c r="B421" s="4">
        <v>45790</v>
      </c>
      <c r="C421" s="3" t="s">
        <v>25</v>
      </c>
      <c r="D421" s="3" t="s">
        <v>17</v>
      </c>
      <c r="E421" s="5">
        <v>4660.59</v>
      </c>
      <c r="F421" s="5">
        <v>3870.78</v>
      </c>
      <c r="G421" s="3">
        <v>197176</v>
      </c>
      <c r="H421" s="3">
        <v>7746</v>
      </c>
      <c r="I421" s="3">
        <v>512</v>
      </c>
      <c r="J421" s="5">
        <v>12587.92</v>
      </c>
    </row>
    <row r="422" customHeight="1" spans="1:10">
      <c r="A422" s="3" t="s">
        <v>481</v>
      </c>
      <c r="B422" s="4">
        <v>45791</v>
      </c>
      <c r="C422" s="3" t="s">
        <v>20</v>
      </c>
      <c r="D422" s="3" t="s">
        <v>17</v>
      </c>
      <c r="E422" s="5">
        <v>8011.81</v>
      </c>
      <c r="F422" s="5">
        <v>7993.2</v>
      </c>
      <c r="G422" s="3">
        <v>161797</v>
      </c>
      <c r="H422" s="3">
        <v>6944</v>
      </c>
      <c r="I422" s="3">
        <v>396</v>
      </c>
      <c r="J422" s="5">
        <v>8241.9</v>
      </c>
    </row>
    <row r="423" customHeight="1" spans="1:10">
      <c r="A423" s="3" t="s">
        <v>482</v>
      </c>
      <c r="B423" s="4">
        <v>45791</v>
      </c>
      <c r="C423" s="3" t="s">
        <v>25</v>
      </c>
      <c r="D423" s="3" t="s">
        <v>18</v>
      </c>
      <c r="E423" s="5">
        <v>8425.93</v>
      </c>
      <c r="F423" s="5">
        <v>9115.59</v>
      </c>
      <c r="G423" s="3">
        <v>177209</v>
      </c>
      <c r="H423" s="3">
        <v>2628</v>
      </c>
      <c r="I423" s="3">
        <v>342</v>
      </c>
      <c r="J423" s="5">
        <v>16020.93</v>
      </c>
    </row>
    <row r="424" customHeight="1" spans="1:10">
      <c r="A424" s="3" t="s">
        <v>483</v>
      </c>
      <c r="B424" s="4">
        <v>45791</v>
      </c>
      <c r="C424" s="3" t="s">
        <v>26</v>
      </c>
      <c r="D424" s="3" t="s">
        <v>18</v>
      </c>
      <c r="E424" s="5">
        <v>3889.42</v>
      </c>
      <c r="F424" s="5">
        <v>3720.9</v>
      </c>
      <c r="G424" s="3">
        <v>129730</v>
      </c>
      <c r="H424" s="3">
        <v>3017</v>
      </c>
      <c r="I424" s="3">
        <v>425</v>
      </c>
      <c r="J424" s="5">
        <v>18317.42</v>
      </c>
    </row>
    <row r="425" customHeight="1" spans="1:10">
      <c r="A425" s="3" t="s">
        <v>484</v>
      </c>
      <c r="B425" s="4">
        <v>45791</v>
      </c>
      <c r="C425" s="3" t="s">
        <v>26</v>
      </c>
      <c r="D425" s="3" t="s">
        <v>15</v>
      </c>
      <c r="E425" s="5">
        <v>8827.1</v>
      </c>
      <c r="F425" s="5">
        <v>7623.98</v>
      </c>
      <c r="G425" s="3">
        <v>191026</v>
      </c>
      <c r="H425" s="3">
        <v>8786</v>
      </c>
      <c r="I425" s="3">
        <v>423</v>
      </c>
      <c r="J425" s="5">
        <v>10767.36</v>
      </c>
    </row>
    <row r="426" customHeight="1" spans="1:10">
      <c r="A426" s="3" t="s">
        <v>485</v>
      </c>
      <c r="B426" s="4">
        <v>45792</v>
      </c>
      <c r="C426" s="3" t="s">
        <v>27</v>
      </c>
      <c r="D426" s="3" t="s">
        <v>17</v>
      </c>
      <c r="E426" s="5">
        <v>4959.85</v>
      </c>
      <c r="F426" s="5">
        <v>5112.85</v>
      </c>
      <c r="G426" s="3">
        <v>149385</v>
      </c>
      <c r="H426" s="3">
        <v>1524</v>
      </c>
      <c r="I426" s="3">
        <v>60</v>
      </c>
      <c r="J426" s="5">
        <v>1536.68</v>
      </c>
    </row>
    <row r="427" customHeight="1" spans="1:10">
      <c r="A427" s="3" t="s">
        <v>486</v>
      </c>
      <c r="B427" s="4">
        <v>45793</v>
      </c>
      <c r="C427" s="3" t="s">
        <v>26</v>
      </c>
      <c r="D427" s="3" t="s">
        <v>18</v>
      </c>
      <c r="E427" s="5">
        <v>8273.65</v>
      </c>
      <c r="F427" s="5">
        <v>7552.83</v>
      </c>
      <c r="G427" s="3">
        <v>154555</v>
      </c>
      <c r="H427" s="3">
        <v>7368</v>
      </c>
      <c r="I427" s="3">
        <v>692</v>
      </c>
      <c r="J427" s="5">
        <v>15573.47</v>
      </c>
    </row>
    <row r="428" customHeight="1" spans="1:10">
      <c r="A428" s="3" t="s">
        <v>487</v>
      </c>
      <c r="B428" s="4">
        <v>45793</v>
      </c>
      <c r="C428" s="3" t="s">
        <v>24</v>
      </c>
      <c r="D428" s="3" t="s">
        <v>16</v>
      </c>
      <c r="E428" s="5">
        <v>7611.48</v>
      </c>
      <c r="F428" s="5">
        <v>7669.96</v>
      </c>
      <c r="G428" s="3">
        <v>116079</v>
      </c>
      <c r="H428" s="3">
        <v>3243</v>
      </c>
      <c r="I428" s="3">
        <v>205</v>
      </c>
      <c r="J428" s="5">
        <v>9322.55</v>
      </c>
    </row>
    <row r="429" customHeight="1" spans="1:10">
      <c r="A429" s="3" t="s">
        <v>488</v>
      </c>
      <c r="B429" s="4">
        <v>45793</v>
      </c>
      <c r="C429" s="3" t="s">
        <v>27</v>
      </c>
      <c r="D429" s="3" t="s">
        <v>18</v>
      </c>
      <c r="E429" s="5">
        <v>9153.83</v>
      </c>
      <c r="F429" s="5">
        <v>9917.44</v>
      </c>
      <c r="G429" s="3">
        <v>86387</v>
      </c>
      <c r="H429" s="3">
        <v>2059</v>
      </c>
      <c r="I429" s="3">
        <v>67</v>
      </c>
      <c r="J429" s="5">
        <v>2279.48</v>
      </c>
    </row>
    <row r="430" customHeight="1" spans="1:10">
      <c r="A430" s="3" t="s">
        <v>489</v>
      </c>
      <c r="B430" s="4">
        <v>45793</v>
      </c>
      <c r="C430" s="3" t="s">
        <v>25</v>
      </c>
      <c r="D430" s="3" t="s">
        <v>17</v>
      </c>
      <c r="E430" s="5">
        <v>8396.45</v>
      </c>
      <c r="F430" s="5">
        <v>8845.11</v>
      </c>
      <c r="G430" s="3">
        <v>176532</v>
      </c>
      <c r="H430" s="3">
        <v>2317</v>
      </c>
      <c r="I430" s="3">
        <v>156</v>
      </c>
      <c r="J430" s="5">
        <v>6681.59</v>
      </c>
    </row>
    <row r="431" customHeight="1" spans="1:10">
      <c r="A431" s="3" t="s">
        <v>490</v>
      </c>
      <c r="B431" s="4">
        <v>45793</v>
      </c>
      <c r="C431" s="3" t="s">
        <v>25</v>
      </c>
      <c r="D431" s="3" t="s">
        <v>15</v>
      </c>
      <c r="E431" s="5">
        <v>6724.79</v>
      </c>
      <c r="F431" s="5">
        <v>5596.04</v>
      </c>
      <c r="G431" s="3">
        <v>118663</v>
      </c>
      <c r="H431" s="3">
        <v>2481</v>
      </c>
      <c r="I431" s="3">
        <v>397</v>
      </c>
      <c r="J431" s="5">
        <v>13268.68</v>
      </c>
    </row>
    <row r="432" customHeight="1" spans="1:10">
      <c r="A432" s="3" t="s">
        <v>491</v>
      </c>
      <c r="B432" s="4">
        <v>45794</v>
      </c>
      <c r="C432" s="3" t="s">
        <v>20</v>
      </c>
      <c r="D432" s="3" t="s">
        <v>17</v>
      </c>
      <c r="E432" s="5">
        <v>9110.62</v>
      </c>
      <c r="F432" s="5">
        <v>9289.8</v>
      </c>
      <c r="G432" s="3">
        <v>166037</v>
      </c>
      <c r="H432" s="3">
        <v>1929</v>
      </c>
      <c r="I432" s="3">
        <v>275</v>
      </c>
      <c r="J432" s="5">
        <v>12154.13</v>
      </c>
    </row>
    <row r="433" customHeight="1" spans="1:10">
      <c r="A433" s="3" t="s">
        <v>492</v>
      </c>
      <c r="B433" s="4">
        <v>45795</v>
      </c>
      <c r="C433" s="3" t="s">
        <v>25</v>
      </c>
      <c r="D433" s="3" t="s">
        <v>15</v>
      </c>
      <c r="E433" s="5">
        <v>5747.45</v>
      </c>
      <c r="F433" s="5">
        <v>5425.49</v>
      </c>
      <c r="G433" s="3">
        <v>69001</v>
      </c>
      <c r="H433" s="3">
        <v>2029</v>
      </c>
      <c r="I433" s="3">
        <v>320</v>
      </c>
      <c r="J433" s="5">
        <v>12160.2</v>
      </c>
    </row>
    <row r="434" customHeight="1" spans="1:10">
      <c r="A434" s="3" t="s">
        <v>493</v>
      </c>
      <c r="B434" s="4">
        <v>45796</v>
      </c>
      <c r="C434" s="3" t="s">
        <v>25</v>
      </c>
      <c r="D434" s="3" t="s">
        <v>17</v>
      </c>
      <c r="E434" s="5">
        <v>4465.45</v>
      </c>
      <c r="F434" s="5">
        <v>4068.66</v>
      </c>
      <c r="G434" s="3">
        <v>188606</v>
      </c>
      <c r="H434" s="3">
        <v>1714</v>
      </c>
      <c r="I434" s="3">
        <v>194</v>
      </c>
      <c r="J434" s="5">
        <v>6699.92</v>
      </c>
    </row>
    <row r="435" customHeight="1" spans="1:10">
      <c r="A435" s="3" t="s">
        <v>494</v>
      </c>
      <c r="B435" s="4">
        <v>45796</v>
      </c>
      <c r="C435" s="3" t="s">
        <v>26</v>
      </c>
      <c r="D435" s="3" t="s">
        <v>17</v>
      </c>
      <c r="E435" s="5">
        <v>5020.41</v>
      </c>
      <c r="F435" s="5">
        <v>4891.74</v>
      </c>
      <c r="G435" s="3">
        <v>73811</v>
      </c>
      <c r="H435" s="3">
        <v>3452</v>
      </c>
      <c r="I435" s="3">
        <v>224</v>
      </c>
      <c r="J435" s="5">
        <v>5517.32</v>
      </c>
    </row>
    <row r="436" customHeight="1" spans="1:10">
      <c r="A436" s="3" t="s">
        <v>495</v>
      </c>
      <c r="B436" s="4">
        <v>45796</v>
      </c>
      <c r="C436" s="3" t="s">
        <v>27</v>
      </c>
      <c r="D436" s="3" t="s">
        <v>17</v>
      </c>
      <c r="E436" s="5">
        <v>9050.51</v>
      </c>
      <c r="F436" s="5">
        <v>8525.25</v>
      </c>
      <c r="G436" s="3">
        <v>113951</v>
      </c>
      <c r="H436" s="3">
        <v>4911</v>
      </c>
      <c r="I436" s="3">
        <v>623</v>
      </c>
      <c r="J436" s="5">
        <v>30555.54</v>
      </c>
    </row>
    <row r="437" customHeight="1" spans="1:10">
      <c r="A437" s="3" t="s">
        <v>496</v>
      </c>
      <c r="B437" s="4">
        <v>45797</v>
      </c>
      <c r="C437" s="3" t="s">
        <v>26</v>
      </c>
      <c r="D437" s="3" t="s">
        <v>15</v>
      </c>
      <c r="E437" s="5">
        <v>9727.49</v>
      </c>
      <c r="F437" s="5">
        <v>8215.83</v>
      </c>
      <c r="G437" s="3">
        <v>124323</v>
      </c>
      <c r="H437" s="3">
        <v>2448</v>
      </c>
      <c r="I437" s="3">
        <v>214</v>
      </c>
      <c r="J437" s="5">
        <v>6941.89</v>
      </c>
    </row>
    <row r="438" customHeight="1" spans="1:10">
      <c r="A438" s="3" t="s">
        <v>497</v>
      </c>
      <c r="B438" s="4">
        <v>45797</v>
      </c>
      <c r="C438" s="3" t="s">
        <v>25</v>
      </c>
      <c r="D438" s="3" t="s">
        <v>15</v>
      </c>
      <c r="E438" s="5">
        <v>7100.43</v>
      </c>
      <c r="F438" s="5">
        <v>7683.16</v>
      </c>
      <c r="G438" s="3">
        <v>124319</v>
      </c>
      <c r="H438" s="3">
        <v>3473</v>
      </c>
      <c r="I438" s="3">
        <v>495</v>
      </c>
      <c r="J438" s="5">
        <v>18445.79</v>
      </c>
    </row>
    <row r="439" customHeight="1" spans="1:10">
      <c r="A439" s="3" t="s">
        <v>498</v>
      </c>
      <c r="B439" s="4">
        <v>45797</v>
      </c>
      <c r="C439" s="3" t="s">
        <v>20</v>
      </c>
      <c r="D439" s="3" t="s">
        <v>18</v>
      </c>
      <c r="E439" s="5">
        <v>6541.22</v>
      </c>
      <c r="F439" s="5">
        <v>6432.87</v>
      </c>
      <c r="G439" s="3">
        <v>127332</v>
      </c>
      <c r="H439" s="3">
        <v>4365</v>
      </c>
      <c r="I439" s="3">
        <v>646</v>
      </c>
      <c r="J439" s="5">
        <v>13270.98</v>
      </c>
    </row>
    <row r="440" customHeight="1" spans="1:10">
      <c r="A440" s="3" t="s">
        <v>499</v>
      </c>
      <c r="B440" s="4">
        <v>45797</v>
      </c>
      <c r="C440" s="3" t="s">
        <v>20</v>
      </c>
      <c r="D440" s="3" t="s">
        <v>16</v>
      </c>
      <c r="E440" s="5">
        <v>3457.49</v>
      </c>
      <c r="F440" s="5">
        <v>3093.03</v>
      </c>
      <c r="G440" s="3">
        <v>57427</v>
      </c>
      <c r="H440" s="3">
        <v>1092</v>
      </c>
      <c r="I440" s="3">
        <v>199</v>
      </c>
      <c r="J440" s="5">
        <v>7200.76</v>
      </c>
    </row>
    <row r="441" customHeight="1" spans="1:10">
      <c r="A441" s="3" t="s">
        <v>500</v>
      </c>
      <c r="B441" s="4">
        <v>45797</v>
      </c>
      <c r="C441" s="3" t="s">
        <v>27</v>
      </c>
      <c r="D441" s="3" t="s">
        <v>17</v>
      </c>
      <c r="E441" s="5">
        <v>5262.42</v>
      </c>
      <c r="F441" s="5">
        <v>5028.96</v>
      </c>
      <c r="G441" s="3">
        <v>114793</v>
      </c>
      <c r="H441" s="3">
        <v>4639</v>
      </c>
      <c r="I441" s="3">
        <v>463</v>
      </c>
      <c r="J441" s="5">
        <v>19024.93</v>
      </c>
    </row>
    <row r="442" customHeight="1" spans="1:10">
      <c r="A442" s="3" t="s">
        <v>501</v>
      </c>
      <c r="B442" s="4">
        <v>45798</v>
      </c>
      <c r="C442" s="3" t="s">
        <v>24</v>
      </c>
      <c r="D442" s="3" t="s">
        <v>16</v>
      </c>
      <c r="E442" s="5">
        <v>7876.56</v>
      </c>
      <c r="F442" s="5">
        <v>8481.08</v>
      </c>
      <c r="G442" s="3">
        <v>148308</v>
      </c>
      <c r="H442" s="3">
        <v>5069</v>
      </c>
      <c r="I442" s="3">
        <v>397</v>
      </c>
      <c r="J442" s="5">
        <v>16363.21</v>
      </c>
    </row>
    <row r="443" customHeight="1" spans="1:10">
      <c r="A443" s="3" t="s">
        <v>502</v>
      </c>
      <c r="B443" s="4">
        <v>45798</v>
      </c>
      <c r="C443" s="3" t="s">
        <v>26</v>
      </c>
      <c r="D443" s="3" t="s">
        <v>16</v>
      </c>
      <c r="E443" s="5">
        <v>8097.32</v>
      </c>
      <c r="F443" s="5">
        <v>7681.5</v>
      </c>
      <c r="G443" s="3">
        <v>76558</v>
      </c>
      <c r="H443" s="3">
        <v>2247</v>
      </c>
      <c r="I443" s="3">
        <v>275</v>
      </c>
      <c r="J443" s="5">
        <v>11179.32</v>
      </c>
    </row>
    <row r="444" customHeight="1" spans="1:10">
      <c r="A444" s="3" t="s">
        <v>503</v>
      </c>
      <c r="B444" s="4">
        <v>45798</v>
      </c>
      <c r="C444" s="3" t="s">
        <v>20</v>
      </c>
      <c r="D444" s="3" t="s">
        <v>16</v>
      </c>
      <c r="E444" s="5">
        <v>8198.95</v>
      </c>
      <c r="F444" s="5">
        <v>7605.74</v>
      </c>
      <c r="G444" s="3">
        <v>172776</v>
      </c>
      <c r="H444" s="3">
        <v>7965</v>
      </c>
      <c r="I444" s="3">
        <v>101</v>
      </c>
      <c r="J444" s="5">
        <v>3068.18</v>
      </c>
    </row>
    <row r="445" customHeight="1" spans="1:10">
      <c r="A445" s="3" t="s">
        <v>504</v>
      </c>
      <c r="B445" s="4">
        <v>45799</v>
      </c>
      <c r="C445" s="3" t="s">
        <v>25</v>
      </c>
      <c r="D445" s="3" t="s">
        <v>15</v>
      </c>
      <c r="E445" s="5">
        <v>7917.25</v>
      </c>
      <c r="F445" s="5">
        <v>7663.06</v>
      </c>
      <c r="G445" s="3">
        <v>94851</v>
      </c>
      <c r="H445" s="3">
        <v>2639</v>
      </c>
      <c r="I445" s="3">
        <v>396</v>
      </c>
      <c r="J445" s="5">
        <v>8036.08</v>
      </c>
    </row>
    <row r="446" customHeight="1" spans="1:10">
      <c r="A446" s="3" t="s">
        <v>505</v>
      </c>
      <c r="B446" s="4">
        <v>45799</v>
      </c>
      <c r="C446" s="3" t="s">
        <v>20</v>
      </c>
      <c r="D446" s="3" t="s">
        <v>15</v>
      </c>
      <c r="E446" s="5">
        <v>6049.08</v>
      </c>
      <c r="F446" s="5">
        <v>6323.41</v>
      </c>
      <c r="G446" s="3">
        <v>158601</v>
      </c>
      <c r="H446" s="3">
        <v>7199</v>
      </c>
      <c r="I446" s="3">
        <v>503</v>
      </c>
      <c r="J446" s="5">
        <v>11873.95</v>
      </c>
    </row>
    <row r="447" customHeight="1" spans="1:10">
      <c r="A447" s="3" t="s">
        <v>506</v>
      </c>
      <c r="B447" s="4">
        <v>45799</v>
      </c>
      <c r="C447" s="3" t="s">
        <v>27</v>
      </c>
      <c r="D447" s="3" t="s">
        <v>17</v>
      </c>
      <c r="E447" s="5">
        <v>8187.84</v>
      </c>
      <c r="F447" s="5">
        <v>7961.38</v>
      </c>
      <c r="G447" s="3">
        <v>158182</v>
      </c>
      <c r="H447" s="3">
        <v>3562</v>
      </c>
      <c r="I447" s="3">
        <v>554</v>
      </c>
      <c r="J447" s="5">
        <v>25071.19</v>
      </c>
    </row>
    <row r="448" customHeight="1" spans="1:10">
      <c r="A448" s="3" t="s">
        <v>507</v>
      </c>
      <c r="B448" s="4">
        <v>45800</v>
      </c>
      <c r="C448" s="3" t="s">
        <v>27</v>
      </c>
      <c r="D448" s="3" t="s">
        <v>16</v>
      </c>
      <c r="E448" s="5">
        <v>6090.71</v>
      </c>
      <c r="F448" s="5">
        <v>6494.59</v>
      </c>
      <c r="G448" s="3">
        <v>149870</v>
      </c>
      <c r="H448" s="3">
        <v>2505</v>
      </c>
      <c r="I448" s="3">
        <v>453</v>
      </c>
      <c r="J448" s="5">
        <v>13828.94</v>
      </c>
    </row>
    <row r="449" customHeight="1" spans="1:10">
      <c r="A449" s="3" t="s">
        <v>508</v>
      </c>
      <c r="B449" s="4">
        <v>45800</v>
      </c>
      <c r="C449" s="3" t="s">
        <v>20</v>
      </c>
      <c r="D449" s="3" t="s">
        <v>17</v>
      </c>
      <c r="E449" s="5">
        <v>4057.41</v>
      </c>
      <c r="F449" s="5">
        <v>3772.18</v>
      </c>
      <c r="G449" s="3">
        <v>65526</v>
      </c>
      <c r="H449" s="3">
        <v>2744</v>
      </c>
      <c r="I449" s="3">
        <v>447</v>
      </c>
      <c r="J449" s="5">
        <v>21593.89</v>
      </c>
    </row>
    <row r="450" customHeight="1" spans="1:10">
      <c r="A450" s="3" t="s">
        <v>509</v>
      </c>
      <c r="B450" s="4">
        <v>45800</v>
      </c>
      <c r="C450" s="3" t="s">
        <v>20</v>
      </c>
      <c r="D450" s="3" t="s">
        <v>18</v>
      </c>
      <c r="E450" s="5">
        <v>3579.59</v>
      </c>
      <c r="F450" s="5">
        <v>3511.38</v>
      </c>
      <c r="G450" s="3">
        <v>141976</v>
      </c>
      <c r="H450" s="3">
        <v>6294</v>
      </c>
      <c r="I450" s="3">
        <v>311</v>
      </c>
      <c r="J450" s="5">
        <v>8509.11</v>
      </c>
    </row>
    <row r="451" customHeight="1" spans="1:10">
      <c r="A451" s="3" t="s">
        <v>510</v>
      </c>
      <c r="B451" s="4">
        <v>45801</v>
      </c>
      <c r="C451" s="3" t="s">
        <v>26</v>
      </c>
      <c r="D451" s="3" t="s">
        <v>16</v>
      </c>
      <c r="E451" s="5">
        <v>8588.07</v>
      </c>
      <c r="F451" s="5">
        <v>8545.04</v>
      </c>
      <c r="G451" s="3">
        <v>137986</v>
      </c>
      <c r="H451" s="3">
        <v>6053</v>
      </c>
      <c r="I451" s="3">
        <v>403</v>
      </c>
      <c r="J451" s="5">
        <v>16546.78</v>
      </c>
    </row>
    <row r="452" customHeight="1" spans="1:10">
      <c r="A452" s="3" t="s">
        <v>511</v>
      </c>
      <c r="B452" s="4">
        <v>45802</v>
      </c>
      <c r="C452" s="3" t="s">
        <v>20</v>
      </c>
      <c r="D452" s="3" t="s">
        <v>18</v>
      </c>
      <c r="E452" s="5">
        <v>8440.03</v>
      </c>
      <c r="F452" s="5">
        <v>8165.91</v>
      </c>
      <c r="G452" s="3">
        <v>56338</v>
      </c>
      <c r="H452" s="3">
        <v>2066</v>
      </c>
      <c r="I452" s="3">
        <v>157</v>
      </c>
      <c r="J452" s="5">
        <v>5138.09</v>
      </c>
    </row>
    <row r="453" customHeight="1" spans="1:10">
      <c r="A453" s="3" t="s">
        <v>512</v>
      </c>
      <c r="B453" s="4">
        <v>45802</v>
      </c>
      <c r="C453" s="3" t="s">
        <v>20</v>
      </c>
      <c r="D453" s="3" t="s">
        <v>18</v>
      </c>
      <c r="E453" s="5">
        <v>7783.07</v>
      </c>
      <c r="F453" s="5">
        <v>7267.6</v>
      </c>
      <c r="G453" s="3">
        <v>159631</v>
      </c>
      <c r="H453" s="3">
        <v>5836</v>
      </c>
      <c r="I453" s="3">
        <v>861</v>
      </c>
      <c r="J453" s="5">
        <v>24287.78</v>
      </c>
    </row>
    <row r="454" customHeight="1" spans="1:10">
      <c r="A454" s="3" t="s">
        <v>513</v>
      </c>
      <c r="B454" s="4">
        <v>45802</v>
      </c>
      <c r="C454" s="3" t="s">
        <v>27</v>
      </c>
      <c r="D454" s="3" t="s">
        <v>15</v>
      </c>
      <c r="E454" s="5">
        <v>7245</v>
      </c>
      <c r="F454" s="5">
        <v>5815.99</v>
      </c>
      <c r="G454" s="3">
        <v>94836</v>
      </c>
      <c r="H454" s="3">
        <v>3956</v>
      </c>
      <c r="I454" s="3">
        <v>181</v>
      </c>
      <c r="J454" s="5">
        <v>4170.99</v>
      </c>
    </row>
    <row r="455" customHeight="1" spans="1:10">
      <c r="A455" s="3" t="s">
        <v>514</v>
      </c>
      <c r="B455" s="4">
        <v>45802</v>
      </c>
      <c r="C455" s="3" t="s">
        <v>26</v>
      </c>
      <c r="D455" s="3" t="s">
        <v>17</v>
      </c>
      <c r="E455" s="5">
        <v>7327.78</v>
      </c>
      <c r="F455" s="5">
        <v>6673.22</v>
      </c>
      <c r="G455" s="3">
        <v>137418</v>
      </c>
      <c r="H455" s="3">
        <v>4255</v>
      </c>
      <c r="I455" s="3">
        <v>107</v>
      </c>
      <c r="J455" s="5">
        <v>3624.74</v>
      </c>
    </row>
    <row r="456" customHeight="1" spans="1:10">
      <c r="A456" s="3" t="s">
        <v>515</v>
      </c>
      <c r="B456" s="4">
        <v>45802</v>
      </c>
      <c r="C456" s="3" t="s">
        <v>26</v>
      </c>
      <c r="D456" s="3" t="s">
        <v>17</v>
      </c>
      <c r="E456" s="5">
        <v>6928.94</v>
      </c>
      <c r="F456" s="5">
        <v>7145.75</v>
      </c>
      <c r="G456" s="3">
        <v>154773</v>
      </c>
      <c r="H456" s="3">
        <v>2350</v>
      </c>
      <c r="I456" s="3">
        <v>389</v>
      </c>
      <c r="J456" s="5">
        <v>13542.59</v>
      </c>
    </row>
    <row r="457" customHeight="1" spans="1:10">
      <c r="A457" s="3" t="s">
        <v>516</v>
      </c>
      <c r="B457" s="4">
        <v>45802</v>
      </c>
      <c r="C457" s="3" t="s">
        <v>26</v>
      </c>
      <c r="D457" s="3" t="s">
        <v>18</v>
      </c>
      <c r="E457" s="5">
        <v>6609.17</v>
      </c>
      <c r="F457" s="5">
        <v>6256.6</v>
      </c>
      <c r="G457" s="3">
        <v>199789</v>
      </c>
      <c r="H457" s="3">
        <v>2837</v>
      </c>
      <c r="I457" s="3">
        <v>387</v>
      </c>
      <c r="J457" s="5">
        <v>15482.29</v>
      </c>
    </row>
    <row r="458" customHeight="1" spans="1:10">
      <c r="A458" s="3" t="s">
        <v>517</v>
      </c>
      <c r="B458" s="4">
        <v>45803</v>
      </c>
      <c r="C458" s="3" t="s">
        <v>24</v>
      </c>
      <c r="D458" s="3" t="s">
        <v>17</v>
      </c>
      <c r="E458" s="5">
        <v>7185.3</v>
      </c>
      <c r="F458" s="5">
        <v>7735.42</v>
      </c>
      <c r="G458" s="3">
        <v>113245</v>
      </c>
      <c r="H458" s="3">
        <v>4048</v>
      </c>
      <c r="I458" s="3">
        <v>620</v>
      </c>
      <c r="J458" s="5">
        <v>14045.96</v>
      </c>
    </row>
    <row r="459" customHeight="1" spans="1:10">
      <c r="A459" s="3" t="s">
        <v>518</v>
      </c>
      <c r="B459" s="4">
        <v>45803</v>
      </c>
      <c r="C459" s="3" t="s">
        <v>24</v>
      </c>
      <c r="D459" s="3" t="s">
        <v>16</v>
      </c>
      <c r="E459" s="5">
        <v>9263.72</v>
      </c>
      <c r="F459" s="5">
        <v>8932.8</v>
      </c>
      <c r="G459" s="3">
        <v>72755</v>
      </c>
      <c r="H459" s="3">
        <v>2170</v>
      </c>
      <c r="I459" s="3">
        <v>58</v>
      </c>
      <c r="J459" s="5">
        <v>2582.1</v>
      </c>
    </row>
    <row r="460" customHeight="1" spans="1:10">
      <c r="A460" s="3" t="s">
        <v>519</v>
      </c>
      <c r="B460" s="4">
        <v>45803</v>
      </c>
      <c r="C460" s="3" t="s">
        <v>27</v>
      </c>
      <c r="D460" s="3" t="s">
        <v>17</v>
      </c>
      <c r="E460" s="5">
        <v>7857.64</v>
      </c>
      <c r="F460" s="5">
        <v>7565.47</v>
      </c>
      <c r="G460" s="3">
        <v>75023</v>
      </c>
      <c r="H460" s="3">
        <v>2918</v>
      </c>
      <c r="I460" s="3">
        <v>193</v>
      </c>
      <c r="J460" s="5">
        <v>5317.92</v>
      </c>
    </row>
    <row r="461" customHeight="1" spans="1:10">
      <c r="A461" s="3" t="s">
        <v>520</v>
      </c>
      <c r="B461" s="4">
        <v>45803</v>
      </c>
      <c r="C461" s="3" t="s">
        <v>27</v>
      </c>
      <c r="D461" s="3" t="s">
        <v>18</v>
      </c>
      <c r="E461" s="5">
        <v>7581.58</v>
      </c>
      <c r="F461" s="5">
        <v>6686.79</v>
      </c>
      <c r="G461" s="3">
        <v>192599</v>
      </c>
      <c r="H461" s="3">
        <v>7700</v>
      </c>
      <c r="I461" s="3">
        <v>1117</v>
      </c>
      <c r="J461" s="5">
        <v>54203.44</v>
      </c>
    </row>
    <row r="462" customHeight="1" spans="1:10">
      <c r="A462" s="3" t="s">
        <v>521</v>
      </c>
      <c r="B462" s="4">
        <v>45804</v>
      </c>
      <c r="C462" s="3" t="s">
        <v>24</v>
      </c>
      <c r="D462" s="3" t="s">
        <v>17</v>
      </c>
      <c r="E462" s="5">
        <v>6106.25</v>
      </c>
      <c r="F462" s="5">
        <v>6475.33</v>
      </c>
      <c r="G462" s="3">
        <v>115700</v>
      </c>
      <c r="H462" s="3">
        <v>2582</v>
      </c>
      <c r="I462" s="3">
        <v>147</v>
      </c>
      <c r="J462" s="5">
        <v>3721.23</v>
      </c>
    </row>
    <row r="463" customHeight="1" spans="1:10">
      <c r="A463" s="3" t="s">
        <v>522</v>
      </c>
      <c r="B463" s="4">
        <v>45804</v>
      </c>
      <c r="C463" s="3" t="s">
        <v>20</v>
      </c>
      <c r="D463" s="3" t="s">
        <v>16</v>
      </c>
      <c r="E463" s="5">
        <v>7945.33</v>
      </c>
      <c r="F463" s="5">
        <v>6431.55</v>
      </c>
      <c r="G463" s="3">
        <v>174898</v>
      </c>
      <c r="H463" s="3">
        <v>7877</v>
      </c>
      <c r="I463" s="3">
        <v>806</v>
      </c>
      <c r="J463" s="5">
        <v>38757.61</v>
      </c>
    </row>
    <row r="464" customHeight="1" spans="1:10">
      <c r="A464" s="3" t="s">
        <v>523</v>
      </c>
      <c r="B464" s="4">
        <v>45804</v>
      </c>
      <c r="C464" s="3" t="s">
        <v>20</v>
      </c>
      <c r="D464" s="3" t="s">
        <v>16</v>
      </c>
      <c r="E464" s="5">
        <v>6062.32</v>
      </c>
      <c r="F464" s="5">
        <v>6494.25</v>
      </c>
      <c r="G464" s="3">
        <v>54315</v>
      </c>
      <c r="H464" s="3">
        <v>1126</v>
      </c>
      <c r="I464" s="3">
        <v>180</v>
      </c>
      <c r="J464" s="5">
        <v>5480.58</v>
      </c>
    </row>
    <row r="465" customHeight="1" spans="1:10">
      <c r="A465" s="3" t="s">
        <v>524</v>
      </c>
      <c r="B465" s="4">
        <v>45804</v>
      </c>
      <c r="C465" s="3" t="s">
        <v>20</v>
      </c>
      <c r="D465" s="3" t="s">
        <v>17</v>
      </c>
      <c r="E465" s="5">
        <v>5285.23</v>
      </c>
      <c r="F465" s="5">
        <v>5049.05</v>
      </c>
      <c r="G465" s="3">
        <v>134423</v>
      </c>
      <c r="H465" s="3">
        <v>2548</v>
      </c>
      <c r="I465" s="3">
        <v>363</v>
      </c>
      <c r="J465" s="5">
        <v>8216.87</v>
      </c>
    </row>
    <row r="466" customHeight="1" spans="1:10">
      <c r="A466" s="3" t="s">
        <v>525</v>
      </c>
      <c r="B466" s="4">
        <v>45805</v>
      </c>
      <c r="C466" s="3" t="s">
        <v>27</v>
      </c>
      <c r="D466" s="3" t="s">
        <v>18</v>
      </c>
      <c r="E466" s="5">
        <v>3177.46</v>
      </c>
      <c r="F466" s="5">
        <v>3459.6</v>
      </c>
      <c r="G466" s="3">
        <v>120702</v>
      </c>
      <c r="H466" s="3">
        <v>2467</v>
      </c>
      <c r="I466" s="3">
        <v>288</v>
      </c>
      <c r="J466" s="5">
        <v>12982.87</v>
      </c>
    </row>
    <row r="467" customHeight="1" spans="1:10">
      <c r="A467" s="3" t="s">
        <v>526</v>
      </c>
      <c r="B467" s="4">
        <v>45805</v>
      </c>
      <c r="C467" s="3" t="s">
        <v>26</v>
      </c>
      <c r="D467" s="3" t="s">
        <v>18</v>
      </c>
      <c r="E467" s="5">
        <v>5132.3</v>
      </c>
      <c r="F467" s="5">
        <v>4256.22</v>
      </c>
      <c r="G467" s="3">
        <v>69520</v>
      </c>
      <c r="H467" s="3">
        <v>1141</v>
      </c>
      <c r="I467" s="3">
        <v>134</v>
      </c>
      <c r="J467" s="5">
        <v>5430.62</v>
      </c>
    </row>
    <row r="468" customHeight="1" spans="1:10">
      <c r="A468" s="3" t="s">
        <v>527</v>
      </c>
      <c r="B468" s="4">
        <v>45805</v>
      </c>
      <c r="C468" s="3" t="s">
        <v>27</v>
      </c>
      <c r="D468" s="3" t="s">
        <v>17</v>
      </c>
      <c r="E468" s="5">
        <v>4692.97</v>
      </c>
      <c r="F468" s="5">
        <v>3885.45</v>
      </c>
      <c r="G468" s="3">
        <v>135649</v>
      </c>
      <c r="H468" s="3">
        <v>5567</v>
      </c>
      <c r="I468" s="3">
        <v>914</v>
      </c>
      <c r="J468" s="5">
        <v>42881.66</v>
      </c>
    </row>
    <row r="469" customHeight="1" spans="1:10">
      <c r="A469" s="3" t="s">
        <v>528</v>
      </c>
      <c r="B469" s="4">
        <v>45806</v>
      </c>
      <c r="C469" s="3" t="s">
        <v>24</v>
      </c>
      <c r="D469" s="3" t="s">
        <v>18</v>
      </c>
      <c r="E469" s="5">
        <v>3561.64</v>
      </c>
      <c r="F469" s="5">
        <v>3409.75</v>
      </c>
      <c r="G469" s="3">
        <v>89656</v>
      </c>
      <c r="H469" s="3">
        <v>1499</v>
      </c>
      <c r="I469" s="3">
        <v>94</v>
      </c>
      <c r="J469" s="5">
        <v>3037.32</v>
      </c>
    </row>
    <row r="470" customHeight="1" spans="1:10">
      <c r="A470" s="3" t="s">
        <v>529</v>
      </c>
      <c r="B470" s="4">
        <v>45806</v>
      </c>
      <c r="C470" s="3" t="s">
        <v>20</v>
      </c>
      <c r="D470" s="3" t="s">
        <v>15</v>
      </c>
      <c r="E470" s="5">
        <v>6752.67</v>
      </c>
      <c r="F470" s="5">
        <v>6029.18</v>
      </c>
      <c r="G470" s="3">
        <v>53089</v>
      </c>
      <c r="H470" s="3">
        <v>1998</v>
      </c>
      <c r="I470" s="3">
        <v>204</v>
      </c>
      <c r="J470" s="5">
        <v>9060.43</v>
      </c>
    </row>
    <row r="471" customHeight="1" spans="1:10">
      <c r="A471" s="3" t="s">
        <v>530</v>
      </c>
      <c r="B471" s="4">
        <v>45806</v>
      </c>
      <c r="C471" s="3" t="s">
        <v>24</v>
      </c>
      <c r="D471" s="3" t="s">
        <v>16</v>
      </c>
      <c r="E471" s="5">
        <v>4440.89</v>
      </c>
      <c r="F471" s="5">
        <v>3701.82</v>
      </c>
      <c r="G471" s="3">
        <v>138622</v>
      </c>
      <c r="H471" s="3">
        <v>4757</v>
      </c>
      <c r="I471" s="3">
        <v>629</v>
      </c>
      <c r="J471" s="5">
        <v>17670.18</v>
      </c>
    </row>
    <row r="472" customHeight="1" spans="1:10">
      <c r="A472" s="3" t="s">
        <v>531</v>
      </c>
      <c r="B472" s="4">
        <v>45806</v>
      </c>
      <c r="C472" s="3" t="s">
        <v>26</v>
      </c>
      <c r="D472" s="3" t="s">
        <v>16</v>
      </c>
      <c r="E472" s="5">
        <v>6518.75</v>
      </c>
      <c r="F472" s="5">
        <v>5315.67</v>
      </c>
      <c r="G472" s="3">
        <v>64306</v>
      </c>
      <c r="H472" s="3">
        <v>2956</v>
      </c>
      <c r="I472" s="3">
        <v>50</v>
      </c>
      <c r="J472" s="5">
        <v>1417.97</v>
      </c>
    </row>
    <row r="473" customHeight="1" spans="1:10">
      <c r="A473" s="3" t="s">
        <v>532</v>
      </c>
      <c r="B473" s="4">
        <v>45807</v>
      </c>
      <c r="C473" s="3" t="s">
        <v>26</v>
      </c>
      <c r="D473" s="3" t="s">
        <v>17</v>
      </c>
      <c r="E473" s="5">
        <v>4182.55</v>
      </c>
      <c r="F473" s="5">
        <v>3695.61</v>
      </c>
      <c r="G473" s="3">
        <v>127713</v>
      </c>
      <c r="H473" s="3">
        <v>1869</v>
      </c>
      <c r="I473" s="3">
        <v>349</v>
      </c>
      <c r="J473" s="5">
        <v>8833.3</v>
      </c>
    </row>
    <row r="474" customHeight="1" spans="1:10">
      <c r="A474" s="3" t="s">
        <v>533</v>
      </c>
      <c r="B474" s="4">
        <v>45807</v>
      </c>
      <c r="C474" s="3" t="s">
        <v>27</v>
      </c>
      <c r="D474" s="3" t="s">
        <v>15</v>
      </c>
      <c r="E474" s="5">
        <v>3812.51</v>
      </c>
      <c r="F474" s="5">
        <v>3102.62</v>
      </c>
      <c r="G474" s="3">
        <v>134164</v>
      </c>
      <c r="H474" s="3">
        <v>3192</v>
      </c>
      <c r="I474" s="3">
        <v>339</v>
      </c>
      <c r="J474" s="5">
        <v>7194.21</v>
      </c>
    </row>
    <row r="475" customHeight="1" spans="1:10">
      <c r="A475" s="3" t="s">
        <v>534</v>
      </c>
      <c r="B475" s="4">
        <v>45807</v>
      </c>
      <c r="C475" s="3" t="s">
        <v>27</v>
      </c>
      <c r="D475" s="3" t="s">
        <v>18</v>
      </c>
      <c r="E475" s="5">
        <v>7956.51</v>
      </c>
      <c r="F475" s="5">
        <v>6414.34</v>
      </c>
      <c r="G475" s="3">
        <v>91921</v>
      </c>
      <c r="H475" s="3">
        <v>3787</v>
      </c>
      <c r="I475" s="3">
        <v>329</v>
      </c>
      <c r="J475" s="5">
        <v>16153.01</v>
      </c>
    </row>
    <row r="476" customHeight="1" spans="1:10">
      <c r="A476" s="3" t="s">
        <v>535</v>
      </c>
      <c r="B476" s="4">
        <v>45807</v>
      </c>
      <c r="C476" s="3" t="s">
        <v>20</v>
      </c>
      <c r="D476" s="3" t="s">
        <v>15</v>
      </c>
      <c r="E476" s="5">
        <v>9201.84</v>
      </c>
      <c r="F476" s="5">
        <v>9061.59</v>
      </c>
      <c r="G476" s="3">
        <v>66208</v>
      </c>
      <c r="H476" s="3">
        <v>2170</v>
      </c>
      <c r="I476" s="3">
        <v>345</v>
      </c>
      <c r="J476" s="5">
        <v>9311.13</v>
      </c>
    </row>
    <row r="477" customHeight="1" spans="1:10">
      <c r="A477" s="3" t="s">
        <v>536</v>
      </c>
      <c r="B477" s="4">
        <v>45808</v>
      </c>
      <c r="C477" s="3" t="s">
        <v>25</v>
      </c>
      <c r="D477" s="3" t="s">
        <v>16</v>
      </c>
      <c r="E477" s="5">
        <v>9650.43</v>
      </c>
      <c r="F477" s="5">
        <v>10472.47</v>
      </c>
      <c r="G477" s="3">
        <v>137121</v>
      </c>
      <c r="H477" s="3">
        <v>1770</v>
      </c>
      <c r="I477" s="3">
        <v>271</v>
      </c>
      <c r="J477" s="5">
        <v>10082.05</v>
      </c>
    </row>
    <row r="478" customHeight="1" spans="1:10">
      <c r="A478" s="3" t="s">
        <v>537</v>
      </c>
      <c r="B478" s="4">
        <v>45809</v>
      </c>
      <c r="C478" s="3" t="s">
        <v>26</v>
      </c>
      <c r="D478" s="3" t="s">
        <v>18</v>
      </c>
      <c r="E478" s="5">
        <v>5176.88</v>
      </c>
      <c r="F478" s="5">
        <v>4646.53</v>
      </c>
      <c r="G478" s="3">
        <v>81620</v>
      </c>
      <c r="H478" s="3">
        <v>3629</v>
      </c>
      <c r="I478" s="3">
        <v>513</v>
      </c>
      <c r="J478" s="5">
        <v>21488.64</v>
      </c>
    </row>
    <row r="479" customHeight="1" spans="1:10">
      <c r="A479" s="3" t="s">
        <v>538</v>
      </c>
      <c r="B479" s="4">
        <v>45809</v>
      </c>
      <c r="C479" s="3" t="s">
        <v>20</v>
      </c>
      <c r="D479" s="3" t="s">
        <v>15</v>
      </c>
      <c r="E479" s="5">
        <v>7363.09</v>
      </c>
      <c r="F479" s="5">
        <v>6621.4</v>
      </c>
      <c r="G479" s="3">
        <v>144942</v>
      </c>
      <c r="H479" s="3">
        <v>5511</v>
      </c>
      <c r="I479" s="3">
        <v>222</v>
      </c>
      <c r="J479" s="5">
        <v>4863.3</v>
      </c>
    </row>
    <row r="480" customHeight="1" spans="1:10">
      <c r="A480" s="3" t="s">
        <v>539</v>
      </c>
      <c r="B480" s="4">
        <v>45810</v>
      </c>
      <c r="C480" s="3" t="s">
        <v>26</v>
      </c>
      <c r="D480" s="3" t="s">
        <v>16</v>
      </c>
      <c r="E480" s="5">
        <v>6791.44</v>
      </c>
      <c r="F480" s="5">
        <v>6723.82</v>
      </c>
      <c r="G480" s="3">
        <v>175493</v>
      </c>
      <c r="H480" s="3">
        <v>7200</v>
      </c>
      <c r="I480" s="3">
        <v>476</v>
      </c>
      <c r="J480" s="5">
        <v>13202.64</v>
      </c>
    </row>
    <row r="481" customHeight="1" spans="1:10">
      <c r="A481" s="3" t="s">
        <v>540</v>
      </c>
      <c r="B481" s="4">
        <v>45810</v>
      </c>
      <c r="C481" s="3" t="s">
        <v>27</v>
      </c>
      <c r="D481" s="3" t="s">
        <v>15</v>
      </c>
      <c r="E481" s="5">
        <v>7282.05</v>
      </c>
      <c r="F481" s="5">
        <v>6742.3</v>
      </c>
      <c r="G481" s="3">
        <v>186329</v>
      </c>
      <c r="H481" s="3">
        <v>2426</v>
      </c>
      <c r="I481" s="3">
        <v>475</v>
      </c>
      <c r="J481" s="5">
        <v>13030.17</v>
      </c>
    </row>
    <row r="482" customHeight="1" spans="1:10">
      <c r="A482" s="3" t="s">
        <v>541</v>
      </c>
      <c r="B482" s="4">
        <v>45810</v>
      </c>
      <c r="C482" s="3" t="s">
        <v>20</v>
      </c>
      <c r="D482" s="3" t="s">
        <v>18</v>
      </c>
      <c r="E482" s="5">
        <v>3986.47</v>
      </c>
      <c r="F482" s="5">
        <v>4148.56</v>
      </c>
      <c r="G482" s="3">
        <v>138676</v>
      </c>
      <c r="H482" s="3">
        <v>4683</v>
      </c>
      <c r="I482" s="3">
        <v>91</v>
      </c>
      <c r="J482" s="5">
        <v>2023.52</v>
      </c>
    </row>
    <row r="483" customHeight="1" spans="1:10">
      <c r="A483" s="3" t="s">
        <v>542</v>
      </c>
      <c r="B483" s="4">
        <v>45811</v>
      </c>
      <c r="C483" s="3" t="s">
        <v>27</v>
      </c>
      <c r="D483" s="3" t="s">
        <v>17</v>
      </c>
      <c r="E483" s="5">
        <v>5376.15</v>
      </c>
      <c r="F483" s="5">
        <v>5615.11</v>
      </c>
      <c r="G483" s="3">
        <v>161295</v>
      </c>
      <c r="H483" s="3">
        <v>7131</v>
      </c>
      <c r="I483" s="3">
        <v>124</v>
      </c>
      <c r="J483" s="5">
        <v>2778.03</v>
      </c>
    </row>
    <row r="484" customHeight="1" spans="1:10">
      <c r="A484" s="3" t="s">
        <v>543</v>
      </c>
      <c r="B484" s="4">
        <v>45811</v>
      </c>
      <c r="C484" s="3" t="s">
        <v>24</v>
      </c>
      <c r="D484" s="3" t="s">
        <v>17</v>
      </c>
      <c r="E484" s="5">
        <v>7646.63</v>
      </c>
      <c r="F484" s="5">
        <v>7206.1</v>
      </c>
      <c r="G484" s="3">
        <v>102196</v>
      </c>
      <c r="H484" s="3">
        <v>4290</v>
      </c>
      <c r="I484" s="3">
        <v>391</v>
      </c>
      <c r="J484" s="5">
        <v>17722.12</v>
      </c>
    </row>
    <row r="485" customHeight="1" spans="1:10">
      <c r="A485" s="3" t="s">
        <v>544</v>
      </c>
      <c r="B485" s="4">
        <v>45812</v>
      </c>
      <c r="C485" s="3" t="s">
        <v>26</v>
      </c>
      <c r="D485" s="3" t="s">
        <v>15</v>
      </c>
      <c r="E485" s="5">
        <v>6167.08</v>
      </c>
      <c r="F485" s="5">
        <v>5194.27</v>
      </c>
      <c r="G485" s="3">
        <v>105961</v>
      </c>
      <c r="H485" s="3">
        <v>4343</v>
      </c>
      <c r="I485" s="3">
        <v>558</v>
      </c>
      <c r="J485" s="5">
        <v>14112.72</v>
      </c>
    </row>
    <row r="486" customHeight="1" spans="1:10">
      <c r="A486" s="3" t="s">
        <v>545</v>
      </c>
      <c r="B486" s="4">
        <v>45813</v>
      </c>
      <c r="C486" s="3" t="s">
        <v>20</v>
      </c>
      <c r="D486" s="3" t="s">
        <v>16</v>
      </c>
      <c r="E486" s="5">
        <v>3251.6</v>
      </c>
      <c r="F486" s="5">
        <v>3055.46</v>
      </c>
      <c r="G486" s="3">
        <v>115973</v>
      </c>
      <c r="H486" s="3">
        <v>4194</v>
      </c>
      <c r="I486" s="3">
        <v>366</v>
      </c>
      <c r="J486" s="5">
        <v>13278.24</v>
      </c>
    </row>
    <row r="487" customHeight="1" spans="1:10">
      <c r="A487" s="3" t="s">
        <v>546</v>
      </c>
      <c r="B487" s="4">
        <v>45814</v>
      </c>
      <c r="C487" s="3" t="s">
        <v>20</v>
      </c>
      <c r="D487" s="3" t="s">
        <v>16</v>
      </c>
      <c r="E487" s="5">
        <v>4249.81</v>
      </c>
      <c r="F487" s="5">
        <v>4232.06</v>
      </c>
      <c r="G487" s="3">
        <v>134964</v>
      </c>
      <c r="H487" s="3">
        <v>2504</v>
      </c>
      <c r="I487" s="3">
        <v>293</v>
      </c>
      <c r="J487" s="5">
        <v>7953.63</v>
      </c>
    </row>
    <row r="488" customHeight="1" spans="1:10">
      <c r="A488" s="3" t="s">
        <v>547</v>
      </c>
      <c r="B488" s="4">
        <v>45814</v>
      </c>
      <c r="C488" s="3" t="s">
        <v>24</v>
      </c>
      <c r="D488" s="3" t="s">
        <v>15</v>
      </c>
      <c r="E488" s="5">
        <v>5720.74</v>
      </c>
      <c r="F488" s="5">
        <v>5042.29</v>
      </c>
      <c r="G488" s="3">
        <v>128160</v>
      </c>
      <c r="H488" s="3">
        <v>1491</v>
      </c>
      <c r="I488" s="3">
        <v>279</v>
      </c>
      <c r="J488" s="5">
        <v>12516.53</v>
      </c>
    </row>
    <row r="489" customHeight="1" spans="1:10">
      <c r="A489" s="3" t="s">
        <v>548</v>
      </c>
      <c r="B489" s="4">
        <v>45814</v>
      </c>
      <c r="C489" s="3" t="s">
        <v>20</v>
      </c>
      <c r="D489" s="3" t="s">
        <v>17</v>
      </c>
      <c r="E489" s="5">
        <v>6953.89</v>
      </c>
      <c r="F489" s="5">
        <v>5700.19</v>
      </c>
      <c r="G489" s="3">
        <v>65823</v>
      </c>
      <c r="H489" s="3">
        <v>1049</v>
      </c>
      <c r="I489" s="3">
        <v>73</v>
      </c>
      <c r="J489" s="5">
        <v>3158.41</v>
      </c>
    </row>
    <row r="490" customHeight="1" spans="1:10">
      <c r="A490" s="3" t="s">
        <v>549</v>
      </c>
      <c r="B490" s="4">
        <v>45814</v>
      </c>
      <c r="C490" s="3" t="s">
        <v>24</v>
      </c>
      <c r="D490" s="3" t="s">
        <v>15</v>
      </c>
      <c r="E490" s="5">
        <v>5624.09</v>
      </c>
      <c r="F490" s="5">
        <v>4981.33</v>
      </c>
      <c r="G490" s="3">
        <v>181387</v>
      </c>
      <c r="H490" s="3">
        <v>7602</v>
      </c>
      <c r="I490" s="3">
        <v>1490</v>
      </c>
      <c r="J490" s="5">
        <v>68626.38</v>
      </c>
    </row>
    <row r="491" customHeight="1" spans="1:10">
      <c r="A491" s="3" t="s">
        <v>550</v>
      </c>
      <c r="B491" s="4">
        <v>45814</v>
      </c>
      <c r="C491" s="3" t="s">
        <v>27</v>
      </c>
      <c r="D491" s="3" t="s">
        <v>15</v>
      </c>
      <c r="E491" s="5">
        <v>3485.53</v>
      </c>
      <c r="F491" s="5">
        <v>2893.8</v>
      </c>
      <c r="G491" s="3">
        <v>66013</v>
      </c>
      <c r="H491" s="3">
        <v>1830</v>
      </c>
      <c r="I491" s="3">
        <v>275</v>
      </c>
      <c r="J491" s="5">
        <v>5650.33</v>
      </c>
    </row>
    <row r="492" customHeight="1" spans="1:10">
      <c r="A492" s="3" t="s">
        <v>551</v>
      </c>
      <c r="B492" s="4">
        <v>45815</v>
      </c>
      <c r="C492" s="3" t="s">
        <v>27</v>
      </c>
      <c r="D492" s="3" t="s">
        <v>18</v>
      </c>
      <c r="E492" s="5">
        <v>6552.27</v>
      </c>
      <c r="F492" s="5">
        <v>5254.37</v>
      </c>
      <c r="G492" s="3">
        <v>68519</v>
      </c>
      <c r="H492" s="3">
        <v>3190</v>
      </c>
      <c r="I492" s="3">
        <v>282</v>
      </c>
      <c r="J492" s="5">
        <v>8068.34</v>
      </c>
    </row>
    <row r="493" customHeight="1" spans="1:10">
      <c r="A493" s="3" t="s">
        <v>552</v>
      </c>
      <c r="B493" s="4">
        <v>45815</v>
      </c>
      <c r="C493" s="3" t="s">
        <v>26</v>
      </c>
      <c r="D493" s="3" t="s">
        <v>18</v>
      </c>
      <c r="E493" s="5">
        <v>8581.98</v>
      </c>
      <c r="F493" s="5">
        <v>8560.83</v>
      </c>
      <c r="G493" s="3">
        <v>125026</v>
      </c>
      <c r="H493" s="3">
        <v>4106</v>
      </c>
      <c r="I493" s="3">
        <v>468</v>
      </c>
      <c r="J493" s="5">
        <v>21302.17</v>
      </c>
    </row>
    <row r="494" customHeight="1" spans="1:10">
      <c r="A494" s="3" t="s">
        <v>553</v>
      </c>
      <c r="B494" s="4">
        <v>45816</v>
      </c>
      <c r="C494" s="3" t="s">
        <v>27</v>
      </c>
      <c r="D494" s="3" t="s">
        <v>17</v>
      </c>
      <c r="E494" s="5">
        <v>3620.92</v>
      </c>
      <c r="F494" s="5">
        <v>3027.78</v>
      </c>
      <c r="G494" s="3">
        <v>95400</v>
      </c>
      <c r="H494" s="3">
        <v>1371</v>
      </c>
      <c r="I494" s="3">
        <v>250</v>
      </c>
      <c r="J494" s="5">
        <v>8455.84</v>
      </c>
    </row>
    <row r="495" customHeight="1" spans="1:10">
      <c r="A495" s="3" t="s">
        <v>554</v>
      </c>
      <c r="B495" s="4">
        <v>45816</v>
      </c>
      <c r="C495" s="3" t="s">
        <v>20</v>
      </c>
      <c r="D495" s="3" t="s">
        <v>15</v>
      </c>
      <c r="E495" s="5">
        <v>7293.91</v>
      </c>
      <c r="F495" s="5">
        <v>6750.32</v>
      </c>
      <c r="G495" s="3">
        <v>194023</v>
      </c>
      <c r="H495" s="3">
        <v>9171</v>
      </c>
      <c r="I495" s="3">
        <v>1138</v>
      </c>
      <c r="J495" s="5">
        <v>54603.35</v>
      </c>
    </row>
    <row r="496" customHeight="1" spans="1:10">
      <c r="A496" s="3" t="s">
        <v>555</v>
      </c>
      <c r="B496" s="4">
        <v>45816</v>
      </c>
      <c r="C496" s="3" t="s">
        <v>24</v>
      </c>
      <c r="D496" s="3" t="s">
        <v>16</v>
      </c>
      <c r="E496" s="5">
        <v>3819.47</v>
      </c>
      <c r="F496" s="5">
        <v>3219.42</v>
      </c>
      <c r="G496" s="3">
        <v>77061</v>
      </c>
      <c r="H496" s="3">
        <v>1539</v>
      </c>
      <c r="I496" s="3">
        <v>244</v>
      </c>
      <c r="J496" s="5">
        <v>10454.26</v>
      </c>
    </row>
    <row r="497" customHeight="1" spans="1:10">
      <c r="A497" s="3" t="s">
        <v>556</v>
      </c>
      <c r="B497" s="4">
        <v>45817</v>
      </c>
      <c r="C497" s="3" t="s">
        <v>27</v>
      </c>
      <c r="D497" s="3" t="s">
        <v>15</v>
      </c>
      <c r="E497" s="5">
        <v>9893.89</v>
      </c>
      <c r="F497" s="5">
        <v>10405.1</v>
      </c>
      <c r="G497" s="3">
        <v>156463</v>
      </c>
      <c r="H497" s="3">
        <v>3470</v>
      </c>
      <c r="I497" s="3">
        <v>102</v>
      </c>
      <c r="J497" s="5">
        <v>2421.47</v>
      </c>
    </row>
    <row r="498" customHeight="1" spans="1:10">
      <c r="A498" s="3" t="s">
        <v>557</v>
      </c>
      <c r="B498" s="4">
        <v>45817</v>
      </c>
      <c r="C498" s="3" t="s">
        <v>20</v>
      </c>
      <c r="D498" s="3" t="s">
        <v>18</v>
      </c>
      <c r="E498" s="5">
        <v>6448.33</v>
      </c>
      <c r="F498" s="5">
        <v>5794.63</v>
      </c>
      <c r="G498" s="3">
        <v>83163</v>
      </c>
      <c r="H498" s="3">
        <v>2401</v>
      </c>
      <c r="I498" s="3">
        <v>165</v>
      </c>
      <c r="J498" s="5">
        <v>6435.33</v>
      </c>
    </row>
    <row r="499" customHeight="1" spans="1:10">
      <c r="A499" s="3" t="s">
        <v>558</v>
      </c>
      <c r="B499" s="4">
        <v>45818</v>
      </c>
      <c r="C499" s="3" t="s">
        <v>20</v>
      </c>
      <c r="D499" s="3" t="s">
        <v>16</v>
      </c>
      <c r="E499" s="5">
        <v>4145.37</v>
      </c>
      <c r="F499" s="5">
        <v>4304.73</v>
      </c>
      <c r="G499" s="3">
        <v>138224</v>
      </c>
      <c r="H499" s="3">
        <v>4150</v>
      </c>
      <c r="I499" s="3">
        <v>232</v>
      </c>
      <c r="J499" s="5">
        <v>9468.03</v>
      </c>
    </row>
    <row r="500" customHeight="1" spans="1:10">
      <c r="A500" s="3" t="s">
        <v>559</v>
      </c>
      <c r="B500" s="4">
        <v>45818</v>
      </c>
      <c r="C500" s="3" t="s">
        <v>25</v>
      </c>
      <c r="D500" s="3" t="s">
        <v>16</v>
      </c>
      <c r="E500" s="5">
        <v>4707.93</v>
      </c>
      <c r="F500" s="5">
        <v>5140.6</v>
      </c>
      <c r="G500" s="3">
        <v>94803</v>
      </c>
      <c r="H500" s="3">
        <v>2004</v>
      </c>
      <c r="I500" s="3">
        <v>320</v>
      </c>
      <c r="J500" s="5">
        <v>10173.74</v>
      </c>
    </row>
    <row r="501" customHeight="1" spans="1:10">
      <c r="A501" s="3" t="s">
        <v>560</v>
      </c>
      <c r="B501" s="4">
        <v>45818</v>
      </c>
      <c r="C501" s="3" t="s">
        <v>24</v>
      </c>
      <c r="D501" s="3" t="s">
        <v>15</v>
      </c>
      <c r="E501" s="5">
        <v>5482.36</v>
      </c>
      <c r="F501" s="5">
        <v>4858.31</v>
      </c>
      <c r="G501" s="3">
        <v>99224</v>
      </c>
      <c r="H501" s="3">
        <v>3662</v>
      </c>
      <c r="I501" s="3">
        <v>233</v>
      </c>
      <c r="J501" s="5">
        <v>6731.19</v>
      </c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Dashboard</vt:lpstr>
      <vt:lpstr>Pivot_Analysis</vt:lpstr>
      <vt:lpstr>Summary</vt:lpstr>
      <vt:lpstr>KPI_Data</vt:lpstr>
      <vt:lpstr>Raw_Data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22B61A05B8 MEDABOINA KUSHAL</cp:lastModifiedBy>
  <cp:revision>4</cp:revision>
  <dcterms:created xsi:type="dcterms:W3CDTF">2026-08-15T13:54:00Z</dcterms:created>
  <dcterms:modified xsi:type="dcterms:W3CDTF">2026-08-16T08:36:19Z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6514DC6F281C442C8545E630E008C081_12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